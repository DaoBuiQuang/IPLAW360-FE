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D:\Hoc\DATN\DATN-reactjs\QLCV-DATN\src\templates\"/>
    </mc:Choice>
  </mc:AlternateContent>
  <xr:revisionPtr revIDLastSave="0" documentId="13_ncr:1_{22D0B587-570F-42C2-B76E-C591FE25D52E}" xr6:coauthVersionLast="47" xr6:coauthVersionMax="47" xr10:uidLastSave="{00000000-0000-0000-0000-000000000000}"/>
  <bookViews>
    <workbookView xWindow="-120" yWindow="-120" windowWidth="29040" windowHeight="15720" firstSheet="3" activeTab="3" xr2:uid="{00000000-000D-0000-FFFF-FFFF00000000}"/>
  </bookViews>
  <sheets>
    <sheet name="Quote for IRG-patent" sheetId="1" state="hidden" r:id="rId1"/>
    <sheet name="Form Invoice" sheetId="2" state="hidden" r:id="rId2"/>
    <sheet name="Quote for BMVN" sheetId="5" state="hidden" r:id="rId3"/>
    <sheet name="Debit Note Eng" sheetId="3" r:id="rId4"/>
    <sheet name="Paypal" sheetId="6" state="hidden" r:id="rId5"/>
  </sheets>
  <definedNames>
    <definedName name="OLE_LINK1" localSheetId="2">'Quote for BMVN'!$A$4</definedName>
    <definedName name="OLE_LINK1" localSheetId="0">'Quote for IRG-patent'!$A$4</definedName>
    <definedName name="_xlnm.Print_Area" localSheetId="3">'Debit Note Eng'!$A$1:$F$42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3" l="1"/>
  <c r="D5" i="6" l="1"/>
  <c r="D6" i="6" l="1"/>
  <c r="D7" i="6" s="1"/>
  <c r="B34" i="3"/>
  <c r="D8" i="6" l="1"/>
  <c r="D9" i="6" s="1"/>
  <c r="D49" i="3"/>
  <c r="D97" i="3" s="1"/>
  <c r="D50" i="3"/>
  <c r="D98" i="3" s="1"/>
  <c r="D51" i="3"/>
  <c r="D99" i="3" s="1"/>
  <c r="E49" i="3"/>
  <c r="E97" i="3" s="1"/>
  <c r="D48" i="3"/>
  <c r="D96" i="3" s="1"/>
  <c r="A87" i="3" l="1"/>
  <c r="A127" i="3" s="1"/>
  <c r="A126" i="3"/>
  <c r="C106" i="3"/>
  <c r="E50" i="3"/>
  <c r="E98" i="3" s="1"/>
  <c r="E51" i="3"/>
  <c r="E99" i="3" s="1"/>
  <c r="D7" i="5"/>
  <c r="D9" i="5" s="1"/>
  <c r="E9" i="5" s="1"/>
  <c r="E24" i="5"/>
  <c r="E22" i="5"/>
  <c r="E21" i="5"/>
  <c r="G20" i="5"/>
  <c r="F8" i="5"/>
  <c r="F9" i="5" s="1"/>
  <c r="F10" i="5" s="1"/>
  <c r="E8" i="5"/>
  <c r="E25" i="5" l="1"/>
  <c r="E7" i="5"/>
  <c r="E10" i="5"/>
  <c r="L6" i="5"/>
  <c r="E48" i="3" l="1"/>
  <c r="G34" i="3" l="1"/>
  <c r="E96" i="3"/>
  <c r="A62" i="3"/>
  <c r="M3" i="3" l="1"/>
  <c r="E14" i="2"/>
  <c r="E16" i="2"/>
  <c r="E13" i="2"/>
  <c r="E15" i="2"/>
  <c r="E17" i="2"/>
  <c r="E18" i="2"/>
  <c r="A28" i="3" l="1"/>
  <c r="A29" i="3"/>
  <c r="A26" i="3"/>
  <c r="A25" i="3"/>
  <c r="A27" i="3"/>
  <c r="A24" i="3"/>
  <c r="A23" i="3"/>
  <c r="A22" i="3"/>
  <c r="A21" i="3"/>
  <c r="E21" i="2"/>
  <c r="F8" i="1"/>
  <c r="F12" i="1" s="1"/>
  <c r="F13" i="1" s="1"/>
  <c r="F11" i="1"/>
  <c r="C7" i="1"/>
  <c r="E7" i="1" s="1"/>
  <c r="L6" i="1" s="1"/>
  <c r="C8" i="1"/>
  <c r="E8" i="1"/>
  <c r="E10" i="1"/>
  <c r="F10" i="1" s="1"/>
  <c r="I10" i="1"/>
  <c r="E11" i="1"/>
  <c r="G25" i="1"/>
  <c r="E26" i="1"/>
  <c r="E30" i="1" s="1"/>
  <c r="E27" i="1"/>
  <c r="E29" i="1"/>
  <c r="E22" i="2" l="1"/>
  <c r="E23" i="2" s="1"/>
  <c r="E26" i="3"/>
  <c r="D26" i="3"/>
  <c r="B26" i="3"/>
  <c r="I26" i="3" s="1"/>
  <c r="D29" i="3"/>
  <c r="E29" i="3"/>
  <c r="B29" i="3"/>
  <c r="D27" i="3"/>
  <c r="E27" i="3"/>
  <c r="B27" i="3"/>
  <c r="D28" i="3"/>
  <c r="E28" i="3"/>
  <c r="B28" i="3"/>
  <c r="I23" i="3"/>
  <c r="I24" i="3"/>
  <c r="E13" i="1"/>
  <c r="E15" i="1" s="1"/>
  <c r="I28" i="3" l="1"/>
  <c r="J28" i="3" s="1"/>
  <c r="F28" i="3"/>
  <c r="I29" i="3"/>
  <c r="J29" i="3" s="1"/>
  <c r="L29" i="3" s="1"/>
  <c r="F29" i="3"/>
  <c r="I27" i="3"/>
  <c r="J27" i="3" s="1"/>
  <c r="L27" i="3" s="1"/>
  <c r="F22" i="3"/>
  <c r="F68" i="3" s="1"/>
  <c r="F66" i="3" s="1"/>
  <c r="I22" i="3"/>
  <c r="J22" i="3" s="1"/>
  <c r="L22" i="3" s="1"/>
  <c r="I21" i="3"/>
  <c r="J21" i="3" s="1"/>
  <c r="L21" i="3" s="1"/>
  <c r="E32" i="3" s="1"/>
  <c r="B62" i="3"/>
  <c r="F26" i="3"/>
  <c r="J26" i="3"/>
  <c r="F27" i="3"/>
  <c r="F25" i="3"/>
  <c r="I25" i="3"/>
  <c r="J25" i="3" s="1"/>
  <c r="J23" i="3"/>
  <c r="L23" i="3" s="1"/>
  <c r="J24" i="3"/>
  <c r="L24" i="3" s="1"/>
  <c r="F23" i="3"/>
  <c r="B68" i="3"/>
  <c r="F24" i="3"/>
  <c r="K29" i="3" l="1"/>
  <c r="K28" i="3"/>
  <c r="L28" i="3"/>
  <c r="K21" i="3"/>
  <c r="K27" i="3"/>
  <c r="L26" i="3"/>
  <c r="K26" i="3"/>
  <c r="F62" i="3"/>
  <c r="F60" i="3" s="1"/>
  <c r="F73" i="3" s="1"/>
  <c r="K25" i="3"/>
  <c r="L25" i="3"/>
  <c r="K24" i="3"/>
  <c r="K22" i="3"/>
  <c r="K23" i="3"/>
  <c r="F33" i="3" l="1"/>
  <c r="E34" i="3" s="1"/>
</calcChain>
</file>

<file path=xl/sharedStrings.xml><?xml version="1.0" encoding="utf-8"?>
<sst xmlns="http://schemas.openxmlformats.org/spreadsheetml/2006/main" count="193" uniqueCount="128">
  <si>
    <r>
      <t>Note:</t>
    </r>
    <r>
      <rPr>
        <sz val="11"/>
        <color theme="1"/>
        <rFont val="Calibri"/>
        <family val="2"/>
      </rPr>
      <t xml:space="preserve"> </t>
    </r>
    <r>
      <rPr>
        <i/>
        <sz val="11"/>
        <color theme="1"/>
        <rFont val="Calibri"/>
        <family val="2"/>
      </rPr>
      <t>For utility solution Patent, annuity fees will be paid for validity term from years 1 to 10 only.</t>
    </r>
  </si>
  <si>
    <t>Grand total fee for 02 patents</t>
  </si>
  <si>
    <t>Disbursements (photocopying, printing, bank charges, postage, faxes, …)</t>
  </si>
  <si>
    <t>3.</t>
  </si>
  <si>
    <t>*Including Late payment fee (within 06 months from the due date)</t>
  </si>
  <si>
    <t>Annuity fee for the 8th effective year (Patent No. KH/P/2013/00065)</t>
  </si>
  <si>
    <t>Annuity fee for the 6th effective year (Patent No. KH/P/2015/00053)</t>
  </si>
  <si>
    <t>Request, publication and recording into National registry for paying annuity fee* from the 2nd year onwards</t>
  </si>
  <si>
    <t>Total service fee</t>
  </si>
  <si>
    <t>(USD)</t>
  </si>
  <si>
    <t>Items of work</t>
  </si>
  <si>
    <t>Total</t>
  </si>
  <si>
    <t>Service fees</t>
  </si>
  <si>
    <t>Official fees</t>
  </si>
  <si>
    <t>No.</t>
  </si>
  <si>
    <t>QUOTATION FOR PATENT ANNUITY IN CAMBODIA</t>
  </si>
  <si>
    <t>[3]=[1]x[2]</t>
  </si>
  <si>
    <t>[2]</t>
  </si>
  <si>
    <t>Quantity of patent</t>
  </si>
  <si>
    <t>[1]</t>
  </si>
  <si>
    <t>Total per patent</t>
  </si>
  <si>
    <t>Tax (5% of service fees)</t>
  </si>
  <si>
    <t>Late payment fee (within 06 months from the due date)</t>
  </si>
  <si>
    <t>2.</t>
  </si>
  <si>
    <t>(per independent claim)</t>
  </si>
  <si>
    <t xml:space="preserve">- Annuity fee for the 3rd/4th effective year </t>
  </si>
  <si>
    <t>-</t>
  </si>
  <si>
    <t>Request, publication and recording into National registry for paying annuity fee from the 2nd year onwards</t>
  </si>
  <si>
    <t>(per patent)</t>
  </si>
  <si>
    <t>Exchange rate 
USD to VND: 23,500</t>
  </si>
  <si>
    <t>Phí đại diện</t>
  </si>
  <si>
    <t>Phí Qgia</t>
  </si>
  <si>
    <t>Tỷ giá</t>
  </si>
  <si>
    <t>QUOTATION FOR PATENT ANNUITY IN VIETNAM</t>
  </si>
  <si>
    <t>INVOICE</t>
  </si>
  <si>
    <t>Date:</t>
  </si>
  <si>
    <t>PAYMENT METHOD</t>
  </si>
  <si>
    <t>Jarret Liberman</t>
  </si>
  <si>
    <t>International Renewals Group (IRG)</t>
  </si>
  <si>
    <t>(347) 625-6597</t>
  </si>
  <si>
    <t>JOINT-STOCK COMMERCIAL BANK FOR FOREIGN TRADE OF VIETNAM (VIETCOMBANK)</t>
  </si>
  <si>
    <t>1016065553</t>
  </si>
  <si>
    <t>44 Court St. Suite 1217 PMB 94689, 
Brooklyn, NY 11201, USA</t>
  </si>
  <si>
    <t>Bank:</t>
  </si>
  <si>
    <t>Acct no:</t>
  </si>
  <si>
    <t>ITEM</t>
  </si>
  <si>
    <t>QTY</t>
  </si>
  <si>
    <t>PRICE
(USD)</t>
  </si>
  <si>
    <t>TOTAL
(USD)</t>
  </si>
  <si>
    <t>VAT (10%)</t>
  </si>
  <si>
    <t>GRAND TOTAL</t>
  </si>
  <si>
    <t>Subtotal</t>
  </si>
  <si>
    <t>THANK YOU!</t>
  </si>
  <si>
    <t>Floor 9th, Diamond Flower Tower, No. 48 Le Van Luong, Hanoi, Vietnam - www.ipac.vn</t>
  </si>
  <si>
    <t>Invoice #:</t>
  </si>
  <si>
    <t>Contract #:</t>
  </si>
  <si>
    <t>For further information, 
Email us at support@ipac.vn
or call us at +824 62868888</t>
  </si>
  <si>
    <t>Search</t>
  </si>
  <si>
    <t>Filing</t>
  </si>
  <si>
    <t>Record</t>
  </si>
  <si>
    <t>fsakfak</t>
  </si>
  <si>
    <t>âsgg</t>
  </si>
  <si>
    <t xml:space="preserve">Disbursements &amp; bank charge </t>
  </si>
  <si>
    <t>Date</t>
  </si>
  <si>
    <t>Item</t>
  </si>
  <si>
    <t>VAT on Total</t>
  </si>
  <si>
    <t>VAT only service fee</t>
  </si>
  <si>
    <t>Số dòng max</t>
  </si>
  <si>
    <t>không xóa</t>
  </si>
  <si>
    <t>Không xóa</t>
  </si>
  <si>
    <t>Availability search for trademark "Path Connector Design" in 3 classes 35, 36 and 43</t>
  </si>
  <si>
    <t>VAT (10% of service fees) in Cambodia</t>
  </si>
  <si>
    <t>Total fee</t>
  </si>
  <si>
    <t>USD</t>
  </si>
  <si>
    <t>VND</t>
  </si>
  <si>
    <t>Term of payment:</t>
  </si>
  <si>
    <t>Matter name:</t>
  </si>
  <si>
    <t>Debit Note:</t>
  </si>
  <si>
    <t>Our Ref:</t>
  </si>
  <si>
    <t>Your Ref:</t>
  </si>
  <si>
    <t>Our bank account No.:</t>
  </si>
  <si>
    <t>Our bank:</t>
  </si>
  <si>
    <t>Summary of charges</t>
  </si>
  <si>
    <t>Fee earner</t>
  </si>
  <si>
    <t>Fixed fees</t>
  </si>
  <si>
    <t>Description</t>
  </si>
  <si>
    <t>Matter total (excluding taxes)</t>
  </si>
  <si>
    <t>N/A</t>
  </si>
  <si>
    <t>Page 2</t>
  </si>
  <si>
    <t>Amount
(USD)</t>
  </si>
  <si>
    <t>Page 3</t>
  </si>
  <si>
    <t>Fee earner details</t>
  </si>
  <si>
    <t>Hrs</t>
  </si>
  <si>
    <t>Narratives</t>
  </si>
  <si>
    <t>Total Hours</t>
  </si>
  <si>
    <t>Chọn TK</t>
  </si>
  <si>
    <t>PAYMENT INSTRUCTION</t>
  </si>
  <si>
    <r>
      <t xml:space="preserve">For further information, 
Email us at </t>
    </r>
    <r>
      <rPr>
        <b/>
        <sz val="11"/>
        <color theme="2" tint="-0.749992370372631"/>
        <rFont val="Gadugi"/>
        <family val="2"/>
      </rPr>
      <t>billing@ipac.vn</t>
    </r>
    <r>
      <rPr>
        <sz val="11"/>
        <color theme="2" tint="-0.749992370372631"/>
        <rFont val="Gadugi"/>
        <family val="2"/>
      </rPr>
      <t xml:space="preserve"> or call us at </t>
    </r>
    <r>
      <rPr>
        <b/>
        <sz val="11"/>
        <color theme="2" tint="-0.749992370372631"/>
        <rFont val="Gadugi"/>
        <family val="2"/>
      </rPr>
      <t>+84 24 62868888</t>
    </r>
  </si>
  <si>
    <t>Country:</t>
  </si>
  <si>
    <t>Equivalent to:</t>
  </si>
  <si>
    <t>Branch:</t>
  </si>
  <si>
    <t>Address:</t>
  </si>
  <si>
    <t>TOTAL AMOUNT DUE (USD)</t>
  </si>
  <si>
    <t>Subtotal amount (USD)</t>
  </si>
  <si>
    <t>The Vietnam Technological and Commercial Joint Stock Bank (TECHCOMBANK)</t>
  </si>
  <si>
    <t>Head Quarter</t>
  </si>
  <si>
    <t>SWIFT Code:</t>
  </si>
  <si>
    <t>VTCBVNVX</t>
  </si>
  <si>
    <t>IPAC INTELLECTUAL PROPERTY CONSULTANCY JSC</t>
  </si>
  <si>
    <t>DEBIT NOTE</t>
  </si>
  <si>
    <t>Disbursements</t>
  </si>
  <si>
    <t>CPN?</t>
  </si>
  <si>
    <t>Filing trademark application in Class 35</t>
  </si>
  <si>
    <t>VAT 5%</t>
  </si>
  <si>
    <t>Total including VAT</t>
  </si>
  <si>
    <t>Paypal fee 5%</t>
  </si>
  <si>
    <t>Grand total amount due</t>
  </si>
  <si>
    <t>Prepare and file oppositon petition</t>
  </si>
  <si>
    <t>Amount (US$)</t>
  </si>
  <si>
    <t>VAT rate</t>
  </si>
  <si>
    <t>VAT</t>
  </si>
  <si>
    <t>ko xóa</t>
  </si>
  <si>
    <t xml:space="preserve">To: </t>
  </si>
  <si>
    <t>* Note: Above fee excludes bank charges or Paypal fee. Please bear all related wire fees (including Local bank fees and Intermediary banking fees for incoming wire transfers) so that we receive the payment in full to our account.</t>
  </si>
  <si>
    <r>
      <t xml:space="preserve">Address: No. 17-LK3, 90 Nguyen Tuan Area, Nguyen Tuan Street, Thanh Xuan, Hanoi, Vietnam
          </t>
    </r>
    <r>
      <rPr>
        <sz val="10"/>
        <color theme="0"/>
        <rFont val="Gadugi"/>
        <family val="2"/>
      </rPr>
      <t>a</t>
    </r>
    <r>
      <rPr>
        <sz val="10"/>
        <color theme="2" tint="-0.749992370372631"/>
        <rFont val="Gadugi"/>
        <family val="2"/>
      </rPr>
      <t xml:space="preserve">  No. 531, St. 128, Sangkat Psadepo I, Khan Toul Kork, Phnom Penh, Cambodia</t>
    </r>
  </si>
  <si>
    <t>Charges up to</t>
  </si>
  <si>
    <t>No. 82 Nguyen Tuan, Thanh Xuan Ward, Hanoi, Vietnam</t>
  </si>
  <si>
    <t>30 days from date of Debit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</si>
</sst>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_-* #,##0\ _€_-;\-* #,##0\ _€_-;_-* &quot;-&quot;??\ _€_-;_-@_-"/>
    <numFmt numFmtId="166" formatCode="[$]dd\ mmm\ yyyy;@" x16r2:formatCode16="[$-en-BE,1]dd\ mmm\ yyyy;@"/>
    <numFmt numFmtId="167" formatCode="_-* #,##0\ [$VND]_-;\-* #,##0\ [$VND]_-;_-* &quot;-&quot;\ [$VND]_-;_-@_-"/>
  </numFmts>
  <fonts count="5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i/>
      <u/>
      <sz val="11"/>
      <color theme="1"/>
      <name val="Calibri"/>
      <family val="2"/>
    </font>
    <font>
      <sz val="11"/>
      <color theme="1"/>
      <name val="Calibri"/>
      <family val="2"/>
    </font>
    <font>
      <i/>
      <sz val="11"/>
      <color theme="1"/>
      <name val="Calibri"/>
      <family val="2"/>
    </font>
    <font>
      <b/>
      <sz val="11"/>
      <name val="Calibri"/>
      <family val="2"/>
    </font>
    <font>
      <sz val="11"/>
      <name val="Calibri"/>
      <family val="2"/>
    </font>
    <font>
      <i/>
      <sz val="10"/>
      <name val="Calibri"/>
      <family val="2"/>
    </font>
    <font>
      <b/>
      <sz val="11"/>
      <color theme="1"/>
      <name val="Calibri"/>
      <family val="2"/>
    </font>
    <font>
      <sz val="11"/>
      <color rgb="FF000000"/>
      <name val="Calibri"/>
      <family val="2"/>
    </font>
    <font>
      <b/>
      <i/>
      <sz val="11"/>
      <color theme="1"/>
      <name val="Calibri"/>
      <family val="2"/>
    </font>
    <font>
      <b/>
      <sz val="14"/>
      <name val="Calibri"/>
      <family val="2"/>
    </font>
    <font>
      <i/>
      <sz val="11"/>
      <color rgb="FF002060"/>
      <name val="Calibri"/>
      <family val="2"/>
      <scheme val="minor"/>
    </font>
    <font>
      <b/>
      <sz val="10"/>
      <color theme="1"/>
      <name val="Calibri"/>
      <family val="2"/>
      <scheme val="minor"/>
    </font>
    <font>
      <sz val="10"/>
      <color theme="1"/>
      <name val="Calibri"/>
      <family val="2"/>
      <scheme val="minor"/>
    </font>
    <font>
      <i/>
      <sz val="11"/>
      <color rgb="FF000000"/>
      <name val="Calibri"/>
      <family val="2"/>
    </font>
    <font>
      <i/>
      <sz val="8"/>
      <color rgb="FF000000"/>
      <name val="Calibri"/>
      <family val="2"/>
    </font>
    <font>
      <i/>
      <sz val="9"/>
      <color theme="1"/>
      <name val="Calibri"/>
      <family val="2"/>
      <scheme val="minor"/>
    </font>
    <font>
      <sz val="11"/>
      <color theme="1"/>
      <name val="Gadugi"/>
      <family val="2"/>
    </font>
    <font>
      <b/>
      <sz val="24"/>
      <color rgb="FF00B8A9"/>
      <name val="Gadugi"/>
      <family val="2"/>
    </font>
    <font>
      <b/>
      <sz val="11"/>
      <color rgb="FF00B8A9"/>
      <name val="Gadugi"/>
      <family val="2"/>
    </font>
    <font>
      <b/>
      <sz val="20"/>
      <color rgb="FF00B8A9"/>
      <name val="Gadugi"/>
      <family val="2"/>
    </font>
    <font>
      <sz val="11"/>
      <color rgb="FF2A2A28"/>
      <name val="Gadugi"/>
      <family val="2"/>
    </font>
    <font>
      <b/>
      <sz val="12"/>
      <color rgb="FF00B8A9"/>
      <name val="Gadugi"/>
      <family val="2"/>
    </font>
    <font>
      <sz val="8"/>
      <color rgb="FF2A2A28"/>
      <name val="Gadugi"/>
      <family val="2"/>
    </font>
    <font>
      <b/>
      <sz val="11"/>
      <color theme="1"/>
      <name val="Gadugi"/>
      <family val="2"/>
    </font>
    <font>
      <b/>
      <sz val="11"/>
      <color theme="0"/>
      <name val="Gadugi"/>
      <family val="2"/>
    </font>
    <font>
      <sz val="10"/>
      <color theme="1"/>
      <name val="Gadugi"/>
      <family val="2"/>
    </font>
    <font>
      <b/>
      <sz val="36"/>
      <color rgb="FF00B8A9"/>
      <name val="Gadugi"/>
      <family val="2"/>
    </font>
    <font>
      <sz val="11"/>
      <color theme="2" tint="-0.749992370372631"/>
      <name val="Gadugi"/>
      <family val="2"/>
    </font>
    <font>
      <b/>
      <sz val="11"/>
      <color theme="2" tint="-0.749992370372631"/>
      <name val="Gadugi"/>
      <family val="2"/>
    </font>
    <font>
      <sz val="10"/>
      <color theme="2" tint="-0.749992370372631"/>
      <name val="Gadugi"/>
      <family val="2"/>
    </font>
    <font>
      <sz val="11"/>
      <color theme="0"/>
      <name val="Gadugi"/>
      <family val="2"/>
    </font>
    <font>
      <b/>
      <sz val="11"/>
      <color theme="1"/>
      <name val="Arial"/>
      <family val="2"/>
    </font>
    <font>
      <sz val="12"/>
      <color theme="2" tint="-0.749992370372631"/>
      <name val="Gadugi"/>
      <family val="2"/>
    </font>
    <font>
      <b/>
      <sz val="10"/>
      <color theme="2" tint="-0.749992370372631"/>
      <name val="Gadugi"/>
      <family val="2"/>
    </font>
    <font>
      <b/>
      <sz val="12"/>
      <color theme="2" tint="-0.749992370372631"/>
      <name val="Gadugi"/>
      <family val="2"/>
    </font>
    <font>
      <b/>
      <sz val="12"/>
      <color rgb="FF009999"/>
      <name val="Gadugi"/>
      <family val="2"/>
    </font>
    <font>
      <b/>
      <sz val="10"/>
      <color rgb="FF009999"/>
      <name val="Gadugi"/>
      <family val="2"/>
    </font>
    <font>
      <b/>
      <sz val="14"/>
      <color theme="2" tint="-0.749992370372631"/>
      <name val="Gadugi"/>
      <family val="2"/>
    </font>
    <font>
      <b/>
      <sz val="20"/>
      <color rgb="FF009999"/>
      <name val="Gadugi"/>
      <family val="2"/>
    </font>
    <font>
      <b/>
      <sz val="11"/>
      <color rgb="FF009999"/>
      <name val="Gadugi"/>
      <family val="2"/>
    </font>
    <font>
      <i/>
      <sz val="10"/>
      <color theme="2" tint="-0.749992370372631"/>
      <name val="Gadugi"/>
      <family val="2"/>
    </font>
    <font>
      <sz val="11"/>
      <color theme="1" tint="0.14999847407452621"/>
      <name val="Gadugi"/>
      <family val="2"/>
    </font>
    <font>
      <sz val="12"/>
      <color theme="1" tint="0.14999847407452621"/>
      <name val="Gadugi"/>
      <family val="2"/>
    </font>
    <font>
      <sz val="10"/>
      <color theme="1" tint="0.14999847407452621"/>
      <name val="Gadugi"/>
      <family val="2"/>
    </font>
    <font>
      <b/>
      <sz val="12"/>
      <color theme="1" tint="0.14999847407452621"/>
      <name val="Gadugi"/>
      <family val="2"/>
    </font>
    <font>
      <sz val="9"/>
      <color theme="1" tint="0.14999847407452621"/>
      <name val="Gadugi"/>
      <family val="2"/>
    </font>
    <font>
      <sz val="11"/>
      <color theme="1" tint="0.249977111117893"/>
      <name val="Gadugi"/>
      <family val="2"/>
    </font>
    <font>
      <sz val="10"/>
      <color theme="1" tint="0.249977111117893"/>
      <name val="Gadugi"/>
      <family val="2"/>
    </font>
    <font>
      <sz val="11"/>
      <color rgb="FFFF0000"/>
      <name val="Gadugi"/>
      <family val="2"/>
    </font>
    <font>
      <b/>
      <sz val="10"/>
      <color theme="1" tint="0.14999847407452621"/>
      <name val="Gadugi"/>
      <family val="2"/>
    </font>
    <font>
      <sz val="10.5"/>
      <color theme="2" tint="-0.749992370372631"/>
      <name val="Gadugi"/>
      <family val="2"/>
    </font>
    <font>
      <sz val="10"/>
      <color theme="0"/>
      <name val="Gadugi"/>
      <family val="2"/>
    </font>
  </fonts>
  <fills count="11">
    <fill>
      <patternFill patternType="none"/>
    </fill>
    <fill>
      <patternFill patternType="gray125"/>
    </fill>
    <fill>
      <patternFill patternType="solid">
        <fgColor rgb="FFCCECFF"/>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00B8B4"/>
        <bgColor indexed="64"/>
      </patternFill>
    </fill>
    <fill>
      <patternFill patternType="solid">
        <fgColor rgb="FFFFFF00"/>
        <bgColor indexed="64"/>
      </patternFill>
    </fill>
    <fill>
      <patternFill patternType="solid">
        <fgColor rgb="FF00999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4" tint="0.59999389629810485"/>
        <bgColor indexed="64"/>
      </patternFill>
    </fill>
  </fills>
  <borders count="19">
    <border>
      <left/>
      <right/>
      <top/>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right/>
      <top/>
      <bottom style="hair">
        <color indexed="64"/>
      </bottom>
      <diagonal/>
    </border>
    <border>
      <left/>
      <right/>
      <top/>
      <bottom style="thin">
        <color theme="2" tint="-9.9948118533890809E-2"/>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35">
    <xf numFmtId="0" fontId="0" fillId="0" borderId="0" xfId="0"/>
    <xf numFmtId="0" fontId="4" fillId="0" borderId="0" xfId="0" applyFont="1" applyAlignment="1">
      <alignment horizontal="left" vertical="center" indent="1"/>
    </xf>
    <xf numFmtId="164" fontId="3" fillId="0" borderId="0" xfId="0" applyNumberFormat="1" applyFont="1"/>
    <xf numFmtId="0" fontId="3" fillId="0" borderId="0" xfId="0" applyFont="1" applyAlignment="1">
      <alignment horizontal="center"/>
    </xf>
    <xf numFmtId="0" fontId="3" fillId="0" borderId="0" xfId="0" applyFont="1"/>
    <xf numFmtId="0" fontId="5" fillId="0" borderId="0" xfId="0" applyFont="1" applyAlignment="1">
      <alignment horizontal="left" vertical="center" indent="1"/>
    </xf>
    <xf numFmtId="164" fontId="3" fillId="2" borderId="1" xfId="1" applyNumberFormat="1" applyFont="1" applyFill="1" applyBorder="1" applyAlignment="1">
      <alignment horizontal="right" vertical="center"/>
    </xf>
    <xf numFmtId="164" fontId="7" fillId="0" borderId="5" xfId="1" applyNumberFormat="1" applyFont="1" applyFill="1" applyBorder="1" applyAlignment="1">
      <alignment horizontal="left" vertical="center" wrapText="1"/>
    </xf>
    <xf numFmtId="2" fontId="8" fillId="0" borderId="5" xfId="0" applyNumberFormat="1" applyFont="1" applyFill="1" applyBorder="1" applyAlignment="1">
      <alignment horizontal="center" vertical="center" wrapText="1"/>
    </xf>
    <xf numFmtId="0" fontId="8" fillId="0" borderId="5" xfId="0" applyFont="1" applyFill="1" applyBorder="1" applyAlignment="1">
      <alignment horizontal="center" vertical="center" wrapText="1"/>
    </xf>
    <xf numFmtId="0" fontId="8" fillId="0" borderId="5" xfId="0" applyFont="1" applyFill="1" applyBorder="1" applyAlignment="1">
      <alignment horizontal="left" vertical="center" wrapText="1"/>
    </xf>
    <xf numFmtId="164" fontId="10" fillId="0" borderId="9" xfId="1" applyNumberFormat="1" applyFont="1" applyBorder="1" applyAlignment="1">
      <alignment horizontal="left" vertical="center" wrapText="1"/>
    </xf>
    <xf numFmtId="2" fontId="5" fillId="0" borderId="10" xfId="0" applyNumberFormat="1" applyFont="1" applyBorder="1" applyAlignment="1">
      <alignment horizontal="center" vertical="center" wrapText="1"/>
    </xf>
    <xf numFmtId="164" fontId="11" fillId="0" borderId="9" xfId="1" applyNumberFormat="1" applyFont="1" applyBorder="1" applyAlignment="1">
      <alignment horizontal="center" vertical="center" wrapText="1"/>
    </xf>
    <xf numFmtId="0" fontId="11" fillId="0" borderId="11" xfId="0" applyFont="1" applyBorder="1" applyAlignment="1">
      <alignment horizontal="left" vertical="center" wrapText="1"/>
    </xf>
    <xf numFmtId="2" fontId="5" fillId="0" borderId="9" xfId="0" applyNumberFormat="1" applyFont="1" applyBorder="1" applyAlignment="1">
      <alignment horizontal="center" vertical="center" wrapText="1"/>
    </xf>
    <xf numFmtId="0" fontId="11" fillId="0" borderId="9" xfId="0" applyFont="1" applyBorder="1" applyAlignment="1">
      <alignment horizontal="left" vertical="center" wrapText="1"/>
    </xf>
    <xf numFmtId="164" fontId="0" fillId="0" borderId="0" xfId="0" applyNumberFormat="1"/>
    <xf numFmtId="164" fontId="10" fillId="0" borderId="13" xfId="1" applyNumberFormat="1" applyFont="1" applyBorder="1" applyAlignment="1">
      <alignment horizontal="center" vertical="center" wrapText="1"/>
    </xf>
    <xf numFmtId="0" fontId="5" fillId="0" borderId="13" xfId="0" applyFont="1" applyBorder="1" applyAlignment="1">
      <alignment horizontal="center" vertical="center" wrapText="1"/>
    </xf>
    <xf numFmtId="164" fontId="11" fillId="0" borderId="13" xfId="1" applyNumberFormat="1" applyFont="1" applyBorder="1" applyAlignment="1">
      <alignment horizontal="right" vertical="center" wrapText="1"/>
    </xf>
    <xf numFmtId="0" fontId="11" fillId="0" borderId="13" xfId="0" applyFont="1" applyBorder="1" applyAlignment="1">
      <alignment vertical="center" wrapText="1"/>
    </xf>
    <xf numFmtId="0" fontId="10" fillId="2" borderId="12"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2" fillId="0" borderId="0" xfId="0" applyFont="1" applyAlignment="1">
      <alignment horizontal="left" vertical="center" indent="1"/>
    </xf>
    <xf numFmtId="0" fontId="0" fillId="0" borderId="0" xfId="0" applyAlignment="1">
      <alignment wrapText="1"/>
    </xf>
    <xf numFmtId="0" fontId="2" fillId="0" borderId="0" xfId="0" applyFont="1" applyAlignment="1">
      <alignment wrapText="1"/>
    </xf>
    <xf numFmtId="0" fontId="14" fillId="0" borderId="0" xfId="0" applyFont="1" applyAlignment="1">
      <alignment wrapText="1"/>
    </xf>
    <xf numFmtId="0" fontId="0" fillId="0" borderId="0" xfId="0" applyAlignment="1">
      <alignment horizontal="right"/>
    </xf>
    <xf numFmtId="164" fontId="3" fillId="2" borderId="1" xfId="0" applyNumberFormat="1" applyFont="1" applyFill="1" applyBorder="1"/>
    <xf numFmtId="0" fontId="15" fillId="2" borderId="1" xfId="0" applyFont="1" applyFill="1" applyBorder="1" applyAlignment="1">
      <alignment horizontal="center"/>
    </xf>
    <xf numFmtId="165" fontId="0" fillId="0" borderId="5" xfId="0" applyNumberFormat="1" applyFont="1" applyBorder="1"/>
    <xf numFmtId="0" fontId="16" fillId="0" borderId="5" xfId="0" applyFont="1" applyBorder="1" applyAlignment="1">
      <alignment horizontal="center"/>
    </xf>
    <xf numFmtId="164" fontId="3" fillId="4" borderId="5" xfId="1" applyNumberFormat="1" applyFont="1" applyFill="1" applyBorder="1" applyAlignment="1"/>
    <xf numFmtId="0" fontId="15" fillId="4" borderId="5" xfId="0" applyFont="1" applyFill="1" applyBorder="1" applyAlignment="1">
      <alignment horizontal="center"/>
    </xf>
    <xf numFmtId="164" fontId="7" fillId="0" borderId="5" xfId="1" applyNumberFormat="1" applyFont="1" applyFill="1" applyBorder="1" applyAlignment="1">
      <alignment horizontal="center" vertical="center" wrapText="1"/>
    </xf>
    <xf numFmtId="0" fontId="8" fillId="0" borderId="5" xfId="0" applyFont="1" applyFill="1" applyBorder="1" applyAlignment="1">
      <alignment horizontal="left" vertical="center" wrapText="1" indent="1"/>
    </xf>
    <xf numFmtId="2" fontId="8" fillId="0" borderId="5" xfId="0" applyNumberFormat="1" applyFont="1" applyFill="1" applyBorder="1" applyAlignment="1">
      <alignment horizontal="right" vertical="center" wrapText="1"/>
    </xf>
    <xf numFmtId="0" fontId="17" fillId="0" borderId="13" xfId="0" applyFont="1" applyBorder="1" applyAlignment="1">
      <alignment horizontal="center" vertical="center" wrapText="1"/>
    </xf>
    <xf numFmtId="0" fontId="18" fillId="0" borderId="13" xfId="0" applyFont="1" applyBorder="1" applyAlignment="1">
      <alignment horizontal="center" vertical="center" wrapText="1"/>
    </xf>
    <xf numFmtId="165" fontId="11" fillId="0" borderId="16" xfId="1" applyNumberFormat="1" applyFont="1" applyBorder="1" applyAlignment="1">
      <alignment horizontal="center" vertical="center" wrapText="1"/>
    </xf>
    <xf numFmtId="164" fontId="11" fillId="0" borderId="16" xfId="1" applyNumberFormat="1" applyFont="1" applyBorder="1" applyAlignment="1">
      <alignment horizontal="right" vertical="center" wrapText="1"/>
    </xf>
    <xf numFmtId="165" fontId="11" fillId="0" borderId="13" xfId="1" applyNumberFormat="1" applyFont="1" applyBorder="1" applyAlignment="1">
      <alignment vertical="center" wrapText="1"/>
    </xf>
    <xf numFmtId="0" fontId="12" fillId="2" borderId="5"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9" fillId="2" borderId="12"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5" fillId="0" borderId="0" xfId="0" applyFont="1" applyAlignment="1">
      <alignment vertical="center"/>
    </xf>
    <xf numFmtId="2" fontId="0" fillId="0" borderId="0" xfId="0" applyNumberFormat="1"/>
    <xf numFmtId="0" fontId="20" fillId="0" borderId="0" xfId="0" applyFont="1"/>
    <xf numFmtId="0" fontId="22" fillId="0" borderId="0" xfId="0" applyFont="1" applyAlignment="1">
      <alignment horizontal="right" vertical="center"/>
    </xf>
    <xf numFmtId="0" fontId="24" fillId="0" borderId="0" xfId="0" applyFont="1" applyAlignment="1">
      <alignment vertical="center"/>
    </xf>
    <xf numFmtId="0" fontId="24" fillId="0" borderId="0" xfId="0" applyFont="1" applyAlignment="1">
      <alignment horizontal="right" vertical="center"/>
    </xf>
    <xf numFmtId="0" fontId="24" fillId="0" borderId="0" xfId="0" applyFont="1" applyAlignment="1">
      <alignment vertical="top" wrapText="1"/>
    </xf>
    <xf numFmtId="0" fontId="27" fillId="0" borderId="0" xfId="0" applyFont="1" applyAlignment="1">
      <alignment vertical="center"/>
    </xf>
    <xf numFmtId="0" fontId="28" fillId="5" borderId="0" xfId="0" applyFont="1" applyFill="1" applyAlignment="1">
      <alignment horizontal="center" vertical="center"/>
    </xf>
    <xf numFmtId="0" fontId="28" fillId="5" borderId="0" xfId="0" applyFont="1" applyFill="1" applyAlignment="1">
      <alignment horizontal="center" vertical="center" wrapText="1"/>
    </xf>
    <xf numFmtId="0" fontId="20" fillId="4" borderId="0" xfId="0" applyFont="1" applyFill="1"/>
    <xf numFmtId="0" fontId="20" fillId="0" borderId="0" xfId="0" applyFont="1" applyAlignment="1">
      <alignment vertical="center" wrapText="1"/>
    </xf>
    <xf numFmtId="0" fontId="20" fillId="5" borderId="0" xfId="0" applyFont="1" applyFill="1" applyAlignment="1">
      <alignment vertical="center" wrapText="1"/>
    </xf>
    <xf numFmtId="0" fontId="20" fillId="5" borderId="0" xfId="0" applyFont="1" applyFill="1"/>
    <xf numFmtId="0" fontId="21" fillId="5" borderId="0" xfId="0" applyFont="1" applyFill="1" applyAlignment="1">
      <alignment horizontal="center"/>
    </xf>
    <xf numFmtId="0" fontId="20" fillId="0" borderId="0" xfId="0" applyFont="1" applyAlignment="1">
      <alignment horizontal="right"/>
    </xf>
    <xf numFmtId="0" fontId="27" fillId="0" borderId="0" xfId="0" applyFont="1" applyAlignment="1">
      <alignment horizontal="right"/>
    </xf>
    <xf numFmtId="0" fontId="22" fillId="0" borderId="0" xfId="0" applyFont="1" applyAlignment="1">
      <alignment horizontal="right" vertical="top"/>
    </xf>
    <xf numFmtId="0" fontId="20" fillId="0" borderId="0" xfId="0" applyFont="1" applyAlignment="1">
      <alignment horizontal="center"/>
    </xf>
    <xf numFmtId="164" fontId="20" fillId="0" borderId="0" xfId="1" applyFont="1"/>
    <xf numFmtId="164" fontId="20" fillId="0" borderId="0" xfId="0" applyNumberFormat="1" applyFont="1"/>
    <xf numFmtId="164" fontId="27" fillId="0" borderId="0" xfId="1" applyFont="1" applyAlignment="1"/>
    <xf numFmtId="164" fontId="27" fillId="4" borderId="0" xfId="1" applyFont="1" applyFill="1" applyAlignment="1"/>
    <xf numFmtId="164" fontId="27" fillId="0" borderId="0" xfId="0" applyNumberFormat="1" applyFont="1"/>
    <xf numFmtId="164" fontId="20" fillId="0" borderId="0" xfId="1" applyNumberFormat="1" applyFont="1" applyAlignment="1">
      <alignment horizontal="center"/>
    </xf>
    <xf numFmtId="164" fontId="20" fillId="4" borderId="0" xfId="1" applyNumberFormat="1" applyFont="1" applyFill="1" applyAlignment="1">
      <alignment horizontal="center"/>
    </xf>
    <xf numFmtId="0" fontId="20" fillId="4" borderId="0" xfId="0" applyFont="1" applyFill="1" applyAlignment="1">
      <alignment horizontal="center"/>
    </xf>
    <xf numFmtId="0" fontId="31" fillId="0" borderId="0" xfId="0" applyFont="1" applyAlignment="1">
      <alignment vertical="center"/>
    </xf>
    <xf numFmtId="0" fontId="31" fillId="0" borderId="0" xfId="0" applyFont="1"/>
    <xf numFmtId="0" fontId="31" fillId="0" borderId="0" xfId="0" applyFont="1" applyAlignment="1">
      <alignment horizontal="right"/>
    </xf>
    <xf numFmtId="0" fontId="32" fillId="0" borderId="0" xfId="0" applyFont="1" applyAlignment="1">
      <alignment horizontal="right"/>
    </xf>
    <xf numFmtId="0" fontId="31" fillId="0" borderId="0" xfId="0" applyFont="1" applyAlignment="1">
      <alignment horizontal="right" vertical="center"/>
    </xf>
    <xf numFmtId="164" fontId="31" fillId="0" borderId="0" xfId="1" applyNumberFormat="1" applyFont="1"/>
    <xf numFmtId="0" fontId="20" fillId="6" borderId="0" xfId="0" applyFont="1" applyFill="1"/>
    <xf numFmtId="0" fontId="20" fillId="6" borderId="0" xfId="0" applyFont="1" applyFill="1" applyAlignment="1">
      <alignment wrapText="1"/>
    </xf>
    <xf numFmtId="165" fontId="20" fillId="6" borderId="0" xfId="1" applyNumberFormat="1" applyFont="1" applyFill="1"/>
    <xf numFmtId="0" fontId="31" fillId="4" borderId="0" xfId="0" applyFont="1" applyFill="1" applyAlignment="1">
      <alignment vertical="center"/>
    </xf>
    <xf numFmtId="0" fontId="32" fillId="0" borderId="0" xfId="0" applyFont="1" applyAlignment="1">
      <alignment vertical="center"/>
    </xf>
    <xf numFmtId="0" fontId="34" fillId="0" borderId="0" xfId="0" applyFont="1" applyAlignment="1">
      <alignment vertical="center"/>
    </xf>
    <xf numFmtId="0" fontId="5" fillId="0" borderId="9" xfId="0" applyFont="1" applyBorder="1" applyAlignment="1">
      <alignment horizontal="center" vertical="center" wrapText="1"/>
    </xf>
    <xf numFmtId="0" fontId="11" fillId="0" borderId="9" xfId="0" applyFont="1" applyBorder="1" applyAlignment="1">
      <alignment horizontal="left" vertical="center" wrapText="1" indent="1"/>
    </xf>
    <xf numFmtId="2" fontId="5" fillId="0" borderId="9" xfId="0" applyNumberFormat="1" applyFont="1" applyBorder="1" applyAlignment="1">
      <alignment horizontal="center" vertical="center" wrapText="1"/>
    </xf>
    <xf numFmtId="0" fontId="31" fillId="0" borderId="0" xfId="0" applyFont="1" applyAlignment="1">
      <alignment horizontal="center"/>
    </xf>
    <xf numFmtId="0" fontId="3" fillId="0" borderId="0" xfId="0" applyFont="1" applyAlignment="1">
      <alignment horizontal="center"/>
    </xf>
    <xf numFmtId="1" fontId="5" fillId="0" borderId="9" xfId="0" applyNumberFormat="1" applyFont="1" applyBorder="1" applyAlignment="1">
      <alignment horizontal="center" vertical="center" wrapText="1"/>
    </xf>
    <xf numFmtId="165" fontId="10" fillId="0" borderId="13" xfId="1" applyNumberFormat="1" applyFont="1" applyBorder="1" applyAlignment="1">
      <alignment horizontal="center" vertical="center" wrapText="1"/>
    </xf>
    <xf numFmtId="165" fontId="10" fillId="0" borderId="9" xfId="1" applyNumberFormat="1" applyFont="1" applyBorder="1" applyAlignment="1">
      <alignment horizontal="center" vertical="center" wrapText="1"/>
    </xf>
    <xf numFmtId="165" fontId="7" fillId="0" borderId="5" xfId="1" applyNumberFormat="1" applyFont="1" applyFill="1" applyBorder="1" applyAlignment="1">
      <alignment horizontal="center" vertical="center" wrapText="1"/>
    </xf>
    <xf numFmtId="0" fontId="36" fillId="0" borderId="0" xfId="0" applyFont="1" applyAlignment="1">
      <alignment vertical="center" wrapText="1"/>
    </xf>
    <xf numFmtId="0" fontId="36" fillId="0" borderId="0" xfId="0" applyFont="1" applyAlignment="1">
      <alignment vertical="center"/>
    </xf>
    <xf numFmtId="0" fontId="33" fillId="0" borderId="0" xfId="0" applyFont="1" applyAlignment="1">
      <alignment horizontal="right" vertical="center"/>
    </xf>
    <xf numFmtId="0" fontId="31" fillId="0" borderId="0" xfId="0" applyFont="1" applyAlignment="1">
      <alignment horizontal="left" vertical="center" wrapText="1"/>
    </xf>
    <xf numFmtId="0" fontId="23" fillId="0" borderId="0" xfId="0" applyFont="1" applyAlignment="1"/>
    <xf numFmtId="0" fontId="28" fillId="7" borderId="0" xfId="0" applyFont="1" applyFill="1" applyAlignment="1">
      <alignment horizontal="center" vertical="center"/>
    </xf>
    <xf numFmtId="0" fontId="28" fillId="7" borderId="0" xfId="0" applyFont="1" applyFill="1" applyAlignment="1">
      <alignment horizontal="center" vertical="center" wrapText="1"/>
    </xf>
    <xf numFmtId="0" fontId="40" fillId="0" borderId="0" xfId="0" applyFont="1" applyAlignment="1">
      <alignment horizontal="right" vertical="center"/>
    </xf>
    <xf numFmtId="0" fontId="20" fillId="7" borderId="0" xfId="0" applyFont="1" applyFill="1" applyAlignment="1">
      <alignment vertical="center" wrapText="1"/>
    </xf>
    <xf numFmtId="0" fontId="20" fillId="7" borderId="0" xfId="0" applyFont="1" applyFill="1"/>
    <xf numFmtId="0" fontId="21" fillId="7" borderId="0" xfId="0" applyFont="1" applyFill="1" applyAlignment="1">
      <alignment horizontal="center"/>
    </xf>
    <xf numFmtId="0" fontId="33" fillId="0" borderId="0" xfId="0" applyFont="1" applyAlignment="1">
      <alignment vertical="center"/>
    </xf>
    <xf numFmtId="164" fontId="32" fillId="0" borderId="0" xfId="1" applyNumberFormat="1" applyFont="1" applyAlignment="1">
      <alignment horizontal="right"/>
    </xf>
    <xf numFmtId="0" fontId="32" fillId="0" borderId="0" xfId="0" applyFont="1"/>
    <xf numFmtId="0" fontId="41" fillId="0" borderId="0" xfId="0" applyFont="1" applyAlignment="1"/>
    <xf numFmtId="0" fontId="31" fillId="0" borderId="17" xfId="0" applyFont="1" applyBorder="1" applyAlignment="1">
      <alignment vertical="center"/>
    </xf>
    <xf numFmtId="0" fontId="20" fillId="0" borderId="17" xfId="0" applyFont="1" applyBorder="1"/>
    <xf numFmtId="0" fontId="37" fillId="0" borderId="0" xfId="0" applyFont="1" applyAlignment="1">
      <alignment vertical="center"/>
    </xf>
    <xf numFmtId="0" fontId="27" fillId="0" borderId="0" xfId="0" applyFont="1" applyAlignment="1">
      <alignment horizontal="center"/>
    </xf>
    <xf numFmtId="0" fontId="37" fillId="0" borderId="0" xfId="0" applyFont="1" applyAlignment="1">
      <alignment horizontal="left" vertical="center"/>
    </xf>
    <xf numFmtId="164" fontId="32" fillId="0" borderId="0" xfId="0" applyNumberFormat="1" applyFont="1"/>
    <xf numFmtId="0" fontId="31" fillId="8" borderId="0" xfId="0" applyFont="1" applyFill="1" applyAlignment="1">
      <alignment vertical="center"/>
    </xf>
    <xf numFmtId="0" fontId="32" fillId="8" borderId="0" xfId="0" applyFont="1" applyFill="1"/>
    <xf numFmtId="0" fontId="31" fillId="8" borderId="0" xfId="0" applyFont="1" applyFill="1"/>
    <xf numFmtId="164" fontId="32" fillId="8" borderId="0" xfId="0" applyNumberFormat="1" applyFont="1" applyFill="1"/>
    <xf numFmtId="0" fontId="20" fillId="8" borderId="0" xfId="0" applyFont="1" applyFill="1"/>
    <xf numFmtId="0" fontId="31" fillId="0" borderId="0" xfId="0" applyFont="1" applyFill="1" applyAlignment="1">
      <alignment vertical="center"/>
    </xf>
    <xf numFmtId="0" fontId="37" fillId="0" borderId="0" xfId="0" applyFont="1"/>
    <xf numFmtId="165" fontId="37" fillId="0" borderId="0" xfId="1" applyNumberFormat="1" applyFont="1"/>
    <xf numFmtId="0" fontId="38" fillId="8" borderId="0" xfId="0" applyFont="1" applyFill="1" applyAlignment="1">
      <alignment vertical="center"/>
    </xf>
    <xf numFmtId="0" fontId="25" fillId="8" borderId="0" xfId="0" applyFont="1" applyFill="1" applyAlignment="1"/>
    <xf numFmtId="0" fontId="39" fillId="8" borderId="0" xfId="0" applyFont="1" applyFill="1" applyAlignment="1">
      <alignment horizontal="right" vertical="center"/>
    </xf>
    <xf numFmtId="0" fontId="36" fillId="8" borderId="0" xfId="0" applyFont="1" applyFill="1" applyAlignment="1">
      <alignment horizontal="center"/>
    </xf>
    <xf numFmtId="0" fontId="38" fillId="8" borderId="0" xfId="0" applyFont="1" applyFill="1" applyAlignment="1">
      <alignment horizontal="center" wrapText="1"/>
    </xf>
    <xf numFmtId="0" fontId="43" fillId="0" borderId="0" xfId="0" applyFont="1"/>
    <xf numFmtId="0" fontId="37" fillId="4" borderId="0" xfId="0" applyFont="1" applyFill="1" applyAlignment="1">
      <alignment vertical="center"/>
    </xf>
    <xf numFmtId="0" fontId="37" fillId="4" borderId="0" xfId="0" applyFont="1" applyFill="1"/>
    <xf numFmtId="0" fontId="27" fillId="6" borderId="0" xfId="0" applyFont="1" applyFill="1" applyAlignment="1">
      <alignment vertical="center"/>
    </xf>
    <xf numFmtId="0" fontId="33" fillId="0" borderId="0" xfId="0" applyFont="1"/>
    <xf numFmtId="0" fontId="37" fillId="0" borderId="0" xfId="0" applyFont="1" applyAlignment="1">
      <alignment horizontal="right" vertical="center"/>
    </xf>
    <xf numFmtId="164" fontId="33" fillId="0" borderId="0" xfId="1" applyFont="1" applyAlignment="1">
      <alignment vertical="center"/>
    </xf>
    <xf numFmtId="164" fontId="33" fillId="4" borderId="0" xfId="1" applyFont="1" applyFill="1" applyAlignment="1">
      <alignment vertical="center"/>
    </xf>
    <xf numFmtId="0" fontId="33" fillId="4" borderId="0" xfId="0" applyFont="1" applyFill="1" applyAlignment="1">
      <alignment vertical="center"/>
    </xf>
    <xf numFmtId="0" fontId="31" fillId="0" borderId="0" xfId="0" quotePrefix="1" applyFont="1" applyAlignment="1">
      <alignment horizontal="left" vertical="center"/>
    </xf>
    <xf numFmtId="14" fontId="33" fillId="0" borderId="0" xfId="0" applyNumberFormat="1" applyFont="1" applyAlignment="1">
      <alignment horizontal="left" vertical="center"/>
    </xf>
    <xf numFmtId="165" fontId="33" fillId="0" borderId="0" xfId="1" applyNumberFormat="1" applyFont="1"/>
    <xf numFmtId="165" fontId="20" fillId="0" borderId="0" xfId="1" applyNumberFormat="1" applyFont="1"/>
    <xf numFmtId="0" fontId="31" fillId="0" borderId="0" xfId="0" quotePrefix="1" applyFont="1" applyAlignment="1">
      <alignment horizontal="left" vertical="center"/>
    </xf>
    <xf numFmtId="165" fontId="20" fillId="0" borderId="0" xfId="0" applyNumberFormat="1" applyFont="1"/>
    <xf numFmtId="0" fontId="33" fillId="0" borderId="0" xfId="0" applyFont="1" applyAlignment="1">
      <alignment vertical="center" wrapText="1"/>
    </xf>
    <xf numFmtId="0" fontId="33" fillId="0" borderId="0" xfId="0" applyFont="1" applyAlignment="1">
      <alignment horizontal="center" vertical="center"/>
    </xf>
    <xf numFmtId="0" fontId="34" fillId="0" borderId="0" xfId="0" applyFont="1"/>
    <xf numFmtId="165" fontId="34" fillId="3" borderId="0" xfId="1" applyNumberFormat="1" applyFont="1" applyFill="1"/>
    <xf numFmtId="0" fontId="45" fillId="0" borderId="0" xfId="0" applyFont="1" applyAlignment="1">
      <alignment vertical="center"/>
    </xf>
    <xf numFmtId="0" fontId="46" fillId="0" borderId="0" xfId="0" applyFont="1" applyAlignment="1">
      <alignment vertical="center" wrapText="1"/>
    </xf>
    <xf numFmtId="0" fontId="47" fillId="0" borderId="0" xfId="0" applyFont="1" applyAlignment="1">
      <alignment horizontal="center" vertical="center" wrapText="1"/>
    </xf>
    <xf numFmtId="0" fontId="47" fillId="0" borderId="0" xfId="0" applyFont="1" applyAlignment="1">
      <alignment horizontal="right" vertical="center"/>
    </xf>
    <xf numFmtId="0" fontId="45" fillId="0" borderId="0" xfId="0" applyFont="1"/>
    <xf numFmtId="0" fontId="45" fillId="0" borderId="0" xfId="0" quotePrefix="1" applyFont="1" applyAlignment="1">
      <alignment vertical="center"/>
    </xf>
    <xf numFmtId="0" fontId="47" fillId="0" borderId="0" xfId="0" applyFont="1"/>
    <xf numFmtId="0" fontId="47" fillId="0" borderId="0" xfId="0" applyFont="1" applyAlignment="1">
      <alignment vertical="center"/>
    </xf>
    <xf numFmtId="0" fontId="50" fillId="0" borderId="0" xfId="0" applyFont="1"/>
    <xf numFmtId="0" fontId="50" fillId="0" borderId="0" xfId="0" applyFont="1" applyAlignment="1">
      <alignment horizontal="right"/>
    </xf>
    <xf numFmtId="164" fontId="50" fillId="0" borderId="0" xfId="1" applyNumberFormat="1" applyFont="1"/>
    <xf numFmtId="9" fontId="20" fillId="0" borderId="0" xfId="2" applyFont="1"/>
    <xf numFmtId="0" fontId="27" fillId="0" borderId="0" xfId="0" applyFont="1"/>
    <xf numFmtId="0" fontId="0" fillId="0" borderId="0" xfId="0" applyAlignment="1">
      <alignment vertical="center" wrapText="1"/>
    </xf>
    <xf numFmtId="164" fontId="0" fillId="0" borderId="0" xfId="1" applyFont="1" applyAlignment="1">
      <alignment horizontal="right"/>
    </xf>
    <xf numFmtId="164" fontId="3" fillId="0" borderId="0" xfId="1" applyFont="1" applyAlignment="1">
      <alignment horizontal="right"/>
    </xf>
    <xf numFmtId="0" fontId="3" fillId="0" borderId="7" xfId="0" applyFont="1" applyBorder="1"/>
    <xf numFmtId="164" fontId="3" fillId="0" borderId="7" xfId="1" applyFont="1" applyBorder="1" applyAlignment="1">
      <alignment horizontal="right"/>
    </xf>
    <xf numFmtId="0" fontId="3" fillId="9" borderId="0" xfId="0" applyFont="1" applyFill="1" applyAlignment="1">
      <alignment horizontal="center"/>
    </xf>
    <xf numFmtId="164" fontId="3" fillId="9" borderId="0" xfId="1" applyFont="1" applyFill="1" applyAlignment="1">
      <alignment horizontal="center"/>
    </xf>
    <xf numFmtId="0" fontId="3" fillId="9" borderId="3" xfId="0" applyFont="1" applyFill="1" applyBorder="1"/>
    <xf numFmtId="164" fontId="3" fillId="9" borderId="3" xfId="1" applyFont="1" applyFill="1" applyBorder="1" applyAlignment="1">
      <alignment horizontal="right"/>
    </xf>
    <xf numFmtId="0" fontId="51" fillId="0" borderId="0" xfId="0" applyFont="1" applyAlignment="1">
      <alignment vertical="center" wrapText="1"/>
    </xf>
    <xf numFmtId="0" fontId="51" fillId="0" borderId="0" xfId="0" applyFont="1" applyFill="1" applyAlignment="1">
      <alignment vertical="center" wrapText="1"/>
    </xf>
    <xf numFmtId="0" fontId="51" fillId="0" borderId="0" xfId="0" applyFont="1" applyAlignment="1">
      <alignment horizontal="center" vertical="center"/>
    </xf>
    <xf numFmtId="0" fontId="51" fillId="4" borderId="0" xfId="0" applyFont="1" applyFill="1" applyAlignment="1">
      <alignment vertical="center" wrapText="1"/>
    </xf>
    <xf numFmtId="0" fontId="51" fillId="4" borderId="0" xfId="0" applyFont="1" applyFill="1" applyAlignment="1">
      <alignment horizontal="center" vertical="center"/>
    </xf>
    <xf numFmtId="0" fontId="51" fillId="0" borderId="0" xfId="0" applyFont="1" applyAlignment="1">
      <alignment vertical="center"/>
    </xf>
    <xf numFmtId="0" fontId="52" fillId="0" borderId="0" xfId="0" applyFont="1"/>
    <xf numFmtId="0" fontId="53" fillId="0" borderId="0" xfId="0" applyFont="1" applyAlignment="1">
      <alignment vertical="center" wrapText="1"/>
    </xf>
    <xf numFmtId="0" fontId="40" fillId="0" borderId="0" xfId="0" applyFont="1" applyAlignment="1">
      <alignment vertical="center" wrapText="1"/>
    </xf>
    <xf numFmtId="164" fontId="51" fillId="4" borderId="0" xfId="1" applyFont="1" applyFill="1" applyAlignment="1">
      <alignment vertical="center"/>
    </xf>
    <xf numFmtId="0" fontId="47" fillId="0" borderId="0" xfId="0" applyFont="1" applyAlignment="1">
      <alignment vertical="top" wrapText="1"/>
    </xf>
    <xf numFmtId="0" fontId="31" fillId="4" borderId="18" xfId="0" applyFont="1" applyFill="1" applyBorder="1"/>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2" xfId="0" applyFont="1" applyFill="1" applyBorder="1" applyAlignment="1">
      <alignment horizontal="center" vertical="center"/>
    </xf>
    <xf numFmtId="0" fontId="9" fillId="0" borderId="8" xfId="0" applyFont="1" applyFill="1" applyBorder="1" applyAlignment="1">
      <alignment horizontal="left" vertical="center" wrapText="1"/>
    </xf>
    <xf numFmtId="0" fontId="9" fillId="0" borderId="7" xfId="0" applyFont="1" applyFill="1" applyBorder="1" applyAlignment="1">
      <alignment horizontal="left" vertical="center" wrapText="1"/>
    </xf>
    <xf numFmtId="0" fontId="9" fillId="0" borderId="6" xfId="0" applyFont="1" applyFill="1" applyBorder="1" applyAlignment="1">
      <alignment horizontal="left" vertical="center" wrapText="1"/>
    </xf>
    <xf numFmtId="0" fontId="10" fillId="2" borderId="15"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3" fillId="3" borderId="0" xfId="0" applyFont="1" applyFill="1" applyAlignment="1">
      <alignment horizontal="center" vertical="center"/>
    </xf>
    <xf numFmtId="164" fontId="10" fillId="0" borderId="9" xfId="1" applyNumberFormat="1" applyFont="1" applyBorder="1" applyAlignment="1">
      <alignment horizontal="center" vertical="center" wrapText="1"/>
    </xf>
    <xf numFmtId="0" fontId="3" fillId="4" borderId="8" xfId="0" applyFont="1" applyFill="1" applyBorder="1" applyAlignment="1">
      <alignment horizontal="center"/>
    </xf>
    <xf numFmtId="0" fontId="3" fillId="4" borderId="7" xfId="0" applyFont="1" applyFill="1" applyBorder="1" applyAlignment="1">
      <alignment horizontal="center"/>
    </xf>
    <xf numFmtId="0" fontId="3" fillId="4" borderId="6" xfId="0" applyFont="1" applyFill="1" applyBorder="1" applyAlignment="1">
      <alignment horizontal="center"/>
    </xf>
    <xf numFmtId="0" fontId="0" fillId="0" borderId="5" xfId="0" applyFont="1" applyBorder="1" applyAlignment="1">
      <alignment horizontal="center"/>
    </xf>
    <xf numFmtId="0" fontId="3" fillId="2" borderId="1" xfId="0" applyFont="1" applyFill="1" applyBorder="1" applyAlignment="1">
      <alignment horizontal="center"/>
    </xf>
    <xf numFmtId="0" fontId="13" fillId="0" borderId="0" xfId="0" applyFont="1" applyAlignment="1">
      <alignment horizontal="center" vertical="center"/>
    </xf>
    <xf numFmtId="0" fontId="10" fillId="2" borderId="9" xfId="0" applyFont="1" applyFill="1" applyBorder="1" applyAlignment="1">
      <alignment horizontal="center" vertical="center" wrapText="1"/>
    </xf>
    <xf numFmtId="0" fontId="5" fillId="0" borderId="9" xfId="0" applyFont="1" applyBorder="1" applyAlignment="1">
      <alignment horizontal="center" vertical="center" wrapText="1"/>
    </xf>
    <xf numFmtId="0" fontId="11" fillId="0" borderId="9" xfId="0" applyFont="1" applyBorder="1" applyAlignment="1">
      <alignment horizontal="left" vertical="center" wrapText="1" indent="1"/>
    </xf>
    <xf numFmtId="2" fontId="5" fillId="0" borderId="9" xfId="0" applyNumberFormat="1" applyFont="1" applyBorder="1" applyAlignment="1">
      <alignment horizontal="center" vertical="center" wrapText="1"/>
    </xf>
    <xf numFmtId="0" fontId="29" fillId="0" borderId="0" xfId="0" applyFont="1" applyAlignment="1">
      <alignment horizontal="center"/>
    </xf>
    <xf numFmtId="0" fontId="30" fillId="0" borderId="0" xfId="0" applyFont="1" applyAlignment="1">
      <alignment horizontal="center"/>
    </xf>
    <xf numFmtId="0" fontId="25" fillId="0" borderId="0" xfId="0" applyFont="1" applyAlignment="1">
      <alignment horizontal="center" vertical="center"/>
    </xf>
    <xf numFmtId="0" fontId="23" fillId="0" borderId="0" xfId="0" applyFont="1" applyAlignment="1">
      <alignment horizontal="left"/>
    </xf>
    <xf numFmtId="0" fontId="26" fillId="0" borderId="0" xfId="0" applyFont="1" applyAlignment="1">
      <alignment horizontal="left" vertical="center" wrapText="1"/>
    </xf>
    <xf numFmtId="0" fontId="24" fillId="0" borderId="0" xfId="0" quotePrefix="1" applyFont="1" applyAlignment="1">
      <alignment horizontal="left" vertical="center"/>
    </xf>
    <xf numFmtId="0" fontId="21" fillId="0" borderId="0" xfId="0" applyFont="1" applyAlignment="1">
      <alignment horizontal="center" vertical="center"/>
    </xf>
    <xf numFmtId="0" fontId="44" fillId="0" borderId="0" xfId="0" applyFont="1" applyAlignment="1">
      <alignment horizontal="left" vertical="top" wrapText="1"/>
    </xf>
    <xf numFmtId="167" fontId="28" fillId="0" borderId="0" xfId="1" applyNumberFormat="1" applyFont="1" applyAlignment="1">
      <alignment horizontal="center"/>
    </xf>
    <xf numFmtId="0" fontId="28" fillId="0" borderId="0" xfId="0" applyFont="1" applyAlignment="1">
      <alignment horizontal="right"/>
    </xf>
    <xf numFmtId="166" fontId="31" fillId="0" borderId="0" xfId="0" applyNumberFormat="1" applyFont="1" applyAlignment="1">
      <alignment horizontal="center" vertical="center" wrapText="1"/>
    </xf>
    <xf numFmtId="0" fontId="31" fillId="10" borderId="0" xfId="0" applyFont="1" applyFill="1" applyAlignment="1">
      <alignment horizontal="center"/>
    </xf>
    <xf numFmtId="0" fontId="54" fillId="0" borderId="0" xfId="0" applyFont="1" applyFill="1" applyAlignment="1">
      <alignment horizontal="center" vertical="center" wrapText="1"/>
    </xf>
    <xf numFmtId="0" fontId="49" fillId="0" borderId="0" xfId="0" applyFont="1" applyAlignment="1">
      <alignment horizontal="left" vertical="center" wrapText="1"/>
    </xf>
    <xf numFmtId="0" fontId="33" fillId="0" borderId="0" xfId="0" applyFont="1" applyAlignment="1">
      <alignment horizontal="center"/>
    </xf>
    <xf numFmtId="0" fontId="33" fillId="0" borderId="0" xfId="0" applyFont="1" applyAlignment="1">
      <alignment horizontal="center" wrapText="1"/>
    </xf>
    <xf numFmtId="0" fontId="42" fillId="0" borderId="0" xfId="0" applyFont="1" applyAlignment="1">
      <alignment horizontal="center"/>
    </xf>
    <xf numFmtId="0" fontId="47" fillId="0" borderId="0" xfId="0" applyFont="1" applyAlignment="1">
      <alignment horizontal="left" vertical="center" wrapText="1"/>
    </xf>
    <xf numFmtId="0" fontId="31" fillId="0" borderId="0" xfId="0" quotePrefix="1" applyFont="1" applyAlignment="1">
      <alignment horizontal="left" vertical="center"/>
    </xf>
    <xf numFmtId="0" fontId="35" fillId="0" borderId="0" xfId="0" applyFont="1" applyAlignment="1">
      <alignment horizontal="left" vertical="center"/>
    </xf>
    <xf numFmtId="0" fontId="54" fillId="0" borderId="0" xfId="0" applyFont="1" applyFill="1" applyAlignment="1">
      <alignment horizontal="center" vertical="center"/>
    </xf>
    <xf numFmtId="0" fontId="33" fillId="0" borderId="0" xfId="0" applyFont="1" applyAlignment="1">
      <alignment horizontal="center" vertical="top" wrapText="1"/>
    </xf>
    <xf numFmtId="0" fontId="48" fillId="0" borderId="0" xfId="0" applyFont="1" applyAlignment="1">
      <alignment horizontal="center" vertical="center"/>
    </xf>
    <xf numFmtId="0" fontId="40" fillId="0" borderId="0" xfId="0" applyFont="1" applyAlignment="1">
      <alignment horizontal="center"/>
    </xf>
    <xf numFmtId="0" fontId="47" fillId="0" borderId="0" xfId="0" quotePrefix="1" applyFont="1" applyAlignment="1">
      <alignment horizontal="left" vertical="center"/>
    </xf>
    <xf numFmtId="14" fontId="47" fillId="0" borderId="0" xfId="0" applyNumberFormat="1" applyFont="1" applyAlignment="1">
      <alignment horizontal="left" vertical="center" wrapText="1"/>
    </xf>
    <xf numFmtId="0" fontId="31" fillId="0" borderId="0" xfId="0" applyFont="1" applyAlignment="1">
      <alignment horizontal="left" vertical="center" wrapText="1"/>
    </xf>
    <xf numFmtId="0" fontId="33" fillId="0" borderId="0" xfId="0" applyFont="1" applyAlignment="1">
      <alignment horizontal="left"/>
    </xf>
    <xf numFmtId="14" fontId="33" fillId="0" borderId="0" xfId="0" applyNumberFormat="1" applyFont="1" applyAlignment="1">
      <alignment horizontal="left" vertical="center" wrapText="1"/>
    </xf>
    <xf numFmtId="0" fontId="33" fillId="0" borderId="0" xfId="0" applyFont="1" applyAlignment="1">
      <alignment horizontal="left" wrapText="1"/>
    </xf>
  </cellXfs>
  <cellStyles count="3">
    <cellStyle name="Comma" xfId="1" builtinId="3"/>
    <cellStyle name="Normal" xfId="0" builtinId="0"/>
    <cellStyle name="Percent" xfId="2" builtinId="5"/>
  </cellStyles>
  <dxfs count="1">
    <dxf>
      <font>
        <color rgb="FF9C0006"/>
      </font>
      <fill>
        <patternFill>
          <bgColor rgb="FFFFC7CE"/>
        </patternFill>
      </fill>
    </dxf>
  </dxfs>
  <tableStyles count="0" defaultTableStyle="TableStyleMedium2" defaultPivotStyle="PivotStyleLight16"/>
  <colors>
    <mruColors>
      <color rgb="FF009999"/>
      <color rgb="FF005C5A"/>
      <color rgb="FF00B8B4"/>
      <color rgb="FF00FFCC"/>
      <color rgb="FF00FF99"/>
      <color rgb="FF00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07/relationships/hdphoto" Target="../media/hdphoto1.wdp"/><Relationship Id="rId1" Type="http://schemas.openxmlformats.org/officeDocument/2006/relationships/image" Target="../media/image4.png"/><Relationship Id="rId5" Type="http://schemas.openxmlformats.org/officeDocument/2006/relationships/image" Target="../media/image7.png"/><Relationship Id="rId4"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323810</xdr:colOff>
      <xdr:row>29</xdr:row>
      <xdr:rowOff>152399</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323810" cy="9915524"/>
        </a:xfrm>
        <a:prstGeom prst="rect">
          <a:avLst/>
        </a:prstGeom>
      </xdr:spPr>
    </xdr:pic>
    <xdr:clientData/>
  </xdr:twoCellAnchor>
  <xdr:twoCellAnchor editAs="oneCell">
    <xdr:from>
      <xdr:col>0</xdr:col>
      <xdr:colOff>504826</xdr:colOff>
      <xdr:row>0</xdr:row>
      <xdr:rowOff>0</xdr:rowOff>
    </xdr:from>
    <xdr:to>
      <xdr:col>1</xdr:col>
      <xdr:colOff>1343026</xdr:colOff>
      <xdr:row>4</xdr:row>
      <xdr:rowOff>9525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2500" b="11875"/>
        <a:stretch/>
      </xdr:blipFill>
      <xdr:spPr>
        <a:xfrm>
          <a:off x="504826" y="0"/>
          <a:ext cx="1524000" cy="1152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123826</xdr:rowOff>
    </xdr:from>
    <xdr:to>
      <xdr:col>0</xdr:col>
      <xdr:colOff>398021</xdr:colOff>
      <xdr:row>52</xdr:row>
      <xdr:rowOff>219075</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4700"/>
                  </a14:imgEffect>
                  <a14:imgEffect>
                    <a14:brightnessContrast contrast="-40000"/>
                  </a14:imgEffect>
                </a14:imgLayer>
              </a14:imgProps>
            </a:ext>
          </a:extLst>
        </a:blip>
        <a:stretch>
          <a:fillRect/>
        </a:stretch>
      </xdr:blipFill>
      <xdr:spPr>
        <a:xfrm>
          <a:off x="0" y="123826"/>
          <a:ext cx="398021" cy="12001499"/>
        </a:xfrm>
        <a:prstGeom prst="rect">
          <a:avLst/>
        </a:prstGeom>
      </xdr:spPr>
    </xdr:pic>
    <xdr:clientData/>
  </xdr:twoCellAnchor>
  <xdr:twoCellAnchor editAs="oneCell">
    <xdr:from>
      <xdr:col>0</xdr:col>
      <xdr:colOff>581025</xdr:colOff>
      <xdr:row>0</xdr:row>
      <xdr:rowOff>0</xdr:rowOff>
    </xdr:from>
    <xdr:to>
      <xdr:col>1</xdr:col>
      <xdr:colOff>952499</xdr:colOff>
      <xdr:row>3</xdr:row>
      <xdr:rowOff>142875</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1766" b="10084"/>
        <a:stretch/>
      </xdr:blipFill>
      <xdr:spPr>
        <a:xfrm>
          <a:off x="581025" y="0"/>
          <a:ext cx="1133474" cy="885825"/>
        </a:xfrm>
        <a:prstGeom prst="rect">
          <a:avLst/>
        </a:prstGeom>
      </xdr:spPr>
    </xdr:pic>
    <xdr:clientData/>
  </xdr:twoCellAnchor>
  <xdr:twoCellAnchor editAs="oneCell">
    <xdr:from>
      <xdr:col>0</xdr:col>
      <xdr:colOff>0</xdr:colOff>
      <xdr:row>41</xdr:row>
      <xdr:rowOff>98425</xdr:rowOff>
    </xdr:from>
    <xdr:to>
      <xdr:col>1</xdr:col>
      <xdr:colOff>161925</xdr:colOff>
      <xdr:row>46</xdr:row>
      <xdr:rowOff>22225</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9893300"/>
          <a:ext cx="939800" cy="923925"/>
        </a:xfrm>
        <a:prstGeom prst="rect">
          <a:avLst/>
        </a:prstGeom>
      </xdr:spPr>
    </xdr:pic>
    <xdr:clientData/>
  </xdr:twoCellAnchor>
  <xdr:oneCellAnchor>
    <xdr:from>
      <xdr:col>0</xdr:col>
      <xdr:colOff>0</xdr:colOff>
      <xdr:row>87</xdr:row>
      <xdr:rowOff>92075</xdr:rowOff>
    </xdr:from>
    <xdr:ext cx="885825" cy="923925"/>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19618325"/>
          <a:ext cx="885825" cy="9239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
  <sheetViews>
    <sheetView zoomScale="130" zoomScaleNormal="130" workbookViewId="0">
      <selection activeCell="B29" sqref="B29"/>
    </sheetView>
  </sheetViews>
  <sheetFormatPr defaultRowHeight="15" x14ac:dyDescent="0.25"/>
  <cols>
    <col min="1" max="1" width="4.42578125" customWidth="1"/>
    <col min="2" max="2" width="55.5703125" customWidth="1"/>
    <col min="3" max="3" width="14" customWidth="1"/>
    <col min="4" max="4" width="12.28515625" customWidth="1"/>
    <col min="5" max="5" width="10.42578125" customWidth="1"/>
    <col min="6" max="7" width="9" customWidth="1"/>
    <col min="8" max="8" width="11.140625" customWidth="1"/>
    <col min="9" max="9" width="9.140625" customWidth="1"/>
    <col min="10" max="10" width="9" customWidth="1"/>
  </cols>
  <sheetData>
    <row r="1" spans="1:12" ht="18.75" x14ac:dyDescent="0.25">
      <c r="A1" s="200" t="s">
        <v>33</v>
      </c>
      <c r="B1" s="200"/>
      <c r="C1" s="200"/>
      <c r="D1" s="200"/>
      <c r="H1" t="s">
        <v>32</v>
      </c>
      <c r="I1">
        <v>23500</v>
      </c>
    </row>
    <row r="2" spans="1:12" ht="4.5" customHeight="1" x14ac:dyDescent="0.25">
      <c r="A2" s="48"/>
    </row>
    <row r="3" spans="1:12" ht="9" customHeight="1" x14ac:dyDescent="0.25">
      <c r="A3" s="24"/>
    </row>
    <row r="4" spans="1:12" x14ac:dyDescent="0.25">
      <c r="A4" s="191" t="s">
        <v>14</v>
      </c>
      <c r="B4" s="23"/>
      <c r="C4" s="23" t="s">
        <v>13</v>
      </c>
      <c r="D4" s="23" t="s">
        <v>12</v>
      </c>
      <c r="E4" s="46" t="s">
        <v>11</v>
      </c>
    </row>
    <row r="5" spans="1:12" x14ac:dyDescent="0.25">
      <c r="A5" s="201"/>
      <c r="B5" s="47" t="s">
        <v>10</v>
      </c>
      <c r="C5" s="47" t="s">
        <v>9</v>
      </c>
      <c r="D5" s="47" t="s">
        <v>9</v>
      </c>
      <c r="E5" s="46" t="s">
        <v>9</v>
      </c>
      <c r="H5" t="s">
        <v>31</v>
      </c>
      <c r="I5" t="s">
        <v>30</v>
      </c>
    </row>
    <row r="6" spans="1:12" ht="36" x14ac:dyDescent="0.25">
      <c r="A6" s="192"/>
      <c r="B6" s="22"/>
      <c r="C6" s="45" t="s">
        <v>29</v>
      </c>
      <c r="D6" s="44" t="s">
        <v>28</v>
      </c>
      <c r="E6" s="43" t="s">
        <v>28</v>
      </c>
      <c r="L6" s="17">
        <f>SUM(E7:E11)</f>
        <v>205.55319148936172</v>
      </c>
    </row>
    <row r="7" spans="1:12" ht="30" x14ac:dyDescent="0.25">
      <c r="A7" s="19">
        <v>1</v>
      </c>
      <c r="B7" s="21" t="s">
        <v>27</v>
      </c>
      <c r="C7" s="20">
        <f>+H7/$I$1</f>
        <v>17.021276595744681</v>
      </c>
      <c r="D7" s="19" t="s">
        <v>26</v>
      </c>
      <c r="E7" s="18">
        <f>+C7</f>
        <v>17.021276595744681</v>
      </c>
      <c r="F7" s="49">
        <v>34</v>
      </c>
      <c r="H7" s="42">
        <v>400000</v>
      </c>
    </row>
    <row r="8" spans="1:12" ht="15" customHeight="1" x14ac:dyDescent="0.25">
      <c r="A8" s="202"/>
      <c r="B8" s="203" t="s">
        <v>25</v>
      </c>
      <c r="C8" s="41">
        <f>+H8/$I$1</f>
        <v>25.531914893617021</v>
      </c>
      <c r="D8" s="204">
        <v>90</v>
      </c>
      <c r="E8" s="194">
        <f>+C8+D8</f>
        <v>115.53191489361703</v>
      </c>
      <c r="F8" s="49">
        <f>115.5*2</f>
        <v>231</v>
      </c>
      <c r="H8" s="40">
        <v>600000</v>
      </c>
    </row>
    <row r="9" spans="1:12" ht="15" customHeight="1" x14ac:dyDescent="0.25">
      <c r="A9" s="202"/>
      <c r="B9" s="203"/>
      <c r="C9" s="39" t="s">
        <v>24</v>
      </c>
      <c r="D9" s="204"/>
      <c r="E9" s="194"/>
      <c r="H9" s="38" t="s">
        <v>24</v>
      </c>
    </row>
    <row r="10" spans="1:12" x14ac:dyDescent="0.25">
      <c r="A10" s="9" t="s">
        <v>23</v>
      </c>
      <c r="B10" s="36" t="s">
        <v>22</v>
      </c>
      <c r="C10" s="37">
        <v>3</v>
      </c>
      <c r="D10" s="9">
        <v>30</v>
      </c>
      <c r="E10" s="35">
        <f>3+D10</f>
        <v>33</v>
      </c>
      <c r="F10" s="49">
        <f>+E10*2</f>
        <v>66</v>
      </c>
      <c r="H10">
        <v>60000</v>
      </c>
      <c r="I10">
        <f>+H10/I1</f>
        <v>2.5531914893617023</v>
      </c>
    </row>
    <row r="11" spans="1:12" ht="16.5" customHeight="1" x14ac:dyDescent="0.25">
      <c r="A11" s="9" t="s">
        <v>3</v>
      </c>
      <c r="B11" s="36" t="s">
        <v>2</v>
      </c>
      <c r="C11" s="9"/>
      <c r="D11" s="8">
        <v>40</v>
      </c>
      <c r="E11" s="35">
        <f>+D11</f>
        <v>40</v>
      </c>
      <c r="F11" s="49">
        <f>+E11*2</f>
        <v>80</v>
      </c>
    </row>
    <row r="12" spans="1:12" x14ac:dyDescent="0.25">
      <c r="A12" s="9">
        <v>4</v>
      </c>
      <c r="B12" s="36" t="s">
        <v>21</v>
      </c>
      <c r="C12" s="9"/>
      <c r="D12" s="9"/>
      <c r="E12" s="35">
        <v>6</v>
      </c>
      <c r="F12" s="49">
        <f>SUM(F7:F11)</f>
        <v>411</v>
      </c>
    </row>
    <row r="13" spans="1:12" ht="21.75" customHeight="1" x14ac:dyDescent="0.25">
      <c r="A13" s="195" t="s">
        <v>20</v>
      </c>
      <c r="B13" s="196"/>
      <c r="C13" s="197"/>
      <c r="D13" s="34" t="s">
        <v>19</v>
      </c>
      <c r="E13" s="33">
        <f>SUM(E7:E12)</f>
        <v>211.55319148936172</v>
      </c>
      <c r="F13" s="49">
        <f>+F12+12</f>
        <v>423</v>
      </c>
    </row>
    <row r="14" spans="1:12" ht="19.5" customHeight="1" x14ac:dyDescent="0.25">
      <c r="A14" s="198" t="s">
        <v>18</v>
      </c>
      <c r="B14" s="198"/>
      <c r="C14" s="198"/>
      <c r="D14" s="32" t="s">
        <v>17</v>
      </c>
      <c r="E14" s="31">
        <v>2</v>
      </c>
    </row>
    <row r="15" spans="1:12" ht="21.75" customHeight="1" thickBot="1" x14ac:dyDescent="0.3">
      <c r="A15" s="199" t="s">
        <v>1</v>
      </c>
      <c r="B15" s="199"/>
      <c r="C15" s="199"/>
      <c r="D15" s="30" t="s">
        <v>16</v>
      </c>
      <c r="E15" s="29">
        <f>+E13*E14</f>
        <v>423.10638297872345</v>
      </c>
    </row>
    <row r="16" spans="1:12" ht="7.5" customHeight="1" thickTop="1" x14ac:dyDescent="0.25">
      <c r="A16" s="5"/>
      <c r="B16" s="4"/>
      <c r="D16" s="3"/>
      <c r="E16" s="2"/>
    </row>
    <row r="17" spans="1:7" x14ac:dyDescent="0.25">
      <c r="A17" s="1" t="s">
        <v>0</v>
      </c>
    </row>
    <row r="18" spans="1:7" x14ac:dyDescent="0.25">
      <c r="A18" s="28"/>
      <c r="B18" s="27"/>
      <c r="C18" s="26"/>
      <c r="D18" s="26"/>
      <c r="E18" s="25"/>
    </row>
    <row r="19" spans="1:7" ht="7.5" customHeight="1" x14ac:dyDescent="0.25"/>
    <row r="21" spans="1:7" ht="18.75" x14ac:dyDescent="0.25">
      <c r="A21" s="193" t="s">
        <v>15</v>
      </c>
      <c r="B21" s="193"/>
      <c r="C21" s="193"/>
      <c r="D21" s="193"/>
      <c r="E21" s="193"/>
    </row>
    <row r="22" spans="1:7" x14ac:dyDescent="0.25">
      <c r="A22" s="24"/>
    </row>
    <row r="23" spans="1:7" x14ac:dyDescent="0.25">
      <c r="A23" s="191" t="s">
        <v>14</v>
      </c>
      <c r="B23" s="23"/>
      <c r="C23" s="23" t="s">
        <v>13</v>
      </c>
      <c r="D23" s="23" t="s">
        <v>12</v>
      </c>
      <c r="E23" s="23" t="s">
        <v>11</v>
      </c>
    </row>
    <row r="24" spans="1:7" x14ac:dyDescent="0.25">
      <c r="A24" s="192"/>
      <c r="B24" s="22" t="s">
        <v>10</v>
      </c>
      <c r="C24" s="22" t="s">
        <v>9</v>
      </c>
      <c r="D24" s="22" t="s">
        <v>9</v>
      </c>
      <c r="E24" s="22" t="s">
        <v>9</v>
      </c>
      <c r="G24" t="s">
        <v>8</v>
      </c>
    </row>
    <row r="25" spans="1:7" ht="30" customHeight="1" x14ac:dyDescent="0.25">
      <c r="A25" s="183">
        <v>1</v>
      </c>
      <c r="B25" s="21" t="s">
        <v>7</v>
      </c>
      <c r="C25" s="20"/>
      <c r="D25" s="19"/>
      <c r="E25" s="18"/>
      <c r="G25" s="17">
        <f>SUM(D26:D28)</f>
        <v>310</v>
      </c>
    </row>
    <row r="26" spans="1:7" ht="30" x14ac:dyDescent="0.25">
      <c r="A26" s="183"/>
      <c r="B26" s="16" t="s">
        <v>6</v>
      </c>
      <c r="C26" s="13">
        <v>140</v>
      </c>
      <c r="D26" s="15">
        <v>155</v>
      </c>
      <c r="E26" s="11">
        <f>+C26+D26</f>
        <v>295</v>
      </c>
    </row>
    <row r="27" spans="1:7" ht="30" x14ac:dyDescent="0.25">
      <c r="A27" s="184"/>
      <c r="B27" s="14" t="s">
        <v>5</v>
      </c>
      <c r="C27" s="13">
        <v>220</v>
      </c>
      <c r="D27" s="12">
        <v>155</v>
      </c>
      <c r="E27" s="11">
        <f>+C27+D27</f>
        <v>375</v>
      </c>
    </row>
    <row r="28" spans="1:7" ht="21" customHeight="1" x14ac:dyDescent="0.25">
      <c r="A28" s="188" t="s">
        <v>4</v>
      </c>
      <c r="B28" s="189"/>
      <c r="C28" s="189"/>
      <c r="D28" s="189"/>
      <c r="E28" s="190"/>
    </row>
    <row r="29" spans="1:7" ht="15" customHeight="1" x14ac:dyDescent="0.25">
      <c r="A29" s="9" t="s">
        <v>3</v>
      </c>
      <c r="B29" s="10" t="s">
        <v>2</v>
      </c>
      <c r="C29" s="9"/>
      <c r="D29" s="8">
        <v>40</v>
      </c>
      <c r="E29" s="7">
        <f>+D29</f>
        <v>40</v>
      </c>
    </row>
    <row r="30" spans="1:7" ht="15.75" thickBot="1" x14ac:dyDescent="0.3">
      <c r="A30" s="185" t="s">
        <v>1</v>
      </c>
      <c r="B30" s="186"/>
      <c r="C30" s="186"/>
      <c r="D30" s="187"/>
      <c r="E30" s="6">
        <f>SUM(E26:E29)</f>
        <v>710</v>
      </c>
    </row>
    <row r="31" spans="1:7" ht="7.5" customHeight="1" thickTop="1" x14ac:dyDescent="0.25">
      <c r="A31" s="5"/>
      <c r="B31" s="4"/>
      <c r="D31" s="3"/>
      <c r="E31" s="2"/>
    </row>
    <row r="32" spans="1:7" x14ac:dyDescent="0.25">
      <c r="A32" s="1" t="s">
        <v>0</v>
      </c>
    </row>
  </sheetData>
  <mergeCells count="14">
    <mergeCell ref="E8:E9"/>
    <mergeCell ref="A13:C13"/>
    <mergeCell ref="A14:C14"/>
    <mergeCell ref="A15:C15"/>
    <mergeCell ref="A1:D1"/>
    <mergeCell ref="A4:A6"/>
    <mergeCell ref="A8:A9"/>
    <mergeCell ref="B8:B9"/>
    <mergeCell ref="D8:D9"/>
    <mergeCell ref="A25:A27"/>
    <mergeCell ref="A30:D30"/>
    <mergeCell ref="A28:E28"/>
    <mergeCell ref="A23:A24"/>
    <mergeCell ref="A21:E21"/>
  </mergeCells>
  <pageMargins left="0.7" right="0.7" top="1.2466666666666666" bottom="0.75" header="0.3" footer="0.3"/>
  <pageSetup paperSize="9" scale="88" orientation="portrait" verticalDpi="0" r:id="rId1"/>
  <headerFooter>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28"/>
  <sheetViews>
    <sheetView topLeftCell="A7" zoomScaleNormal="100" workbookViewId="0">
      <selection activeCell="G12" sqref="G12"/>
    </sheetView>
  </sheetViews>
  <sheetFormatPr defaultColWidth="9" defaultRowHeight="15" x14ac:dyDescent="0.25"/>
  <cols>
    <col min="1" max="1" width="9" style="50"/>
    <col min="2" max="2" width="39.5703125" style="50" customWidth="1"/>
    <col min="3" max="3" width="10.42578125" style="50" customWidth="1"/>
    <col min="4" max="4" width="10.28515625" style="50" customWidth="1"/>
    <col min="5" max="5" width="12.7109375" style="50" customWidth="1"/>
    <col min="6" max="16384" width="9" style="50"/>
  </cols>
  <sheetData>
    <row r="3" spans="1:5" ht="45" x14ac:dyDescent="0.6">
      <c r="C3" s="206" t="s">
        <v>34</v>
      </c>
      <c r="D3" s="206"/>
      <c r="E3" s="206"/>
    </row>
    <row r="4" spans="1:5" x14ac:dyDescent="0.25">
      <c r="C4" s="51" t="s">
        <v>35</v>
      </c>
    </row>
    <row r="5" spans="1:5" x14ac:dyDescent="0.25">
      <c r="C5" s="51" t="s">
        <v>54</v>
      </c>
    </row>
    <row r="6" spans="1:5" ht="19.5" customHeight="1" x14ac:dyDescent="0.25">
      <c r="B6" s="208" t="s">
        <v>37</v>
      </c>
      <c r="C6" s="65" t="s">
        <v>55</v>
      </c>
    </row>
    <row r="7" spans="1:5" ht="66.75" customHeight="1" x14ac:dyDescent="0.25">
      <c r="B7" s="208"/>
    </row>
    <row r="8" spans="1:5" ht="15.75" x14ac:dyDescent="0.25">
      <c r="B8" s="52" t="s">
        <v>38</v>
      </c>
      <c r="C8" s="207" t="s">
        <v>36</v>
      </c>
      <c r="D8" s="207"/>
      <c r="E8" s="207"/>
    </row>
    <row r="9" spans="1:5" x14ac:dyDescent="0.25">
      <c r="B9" s="52" t="s">
        <v>39</v>
      </c>
      <c r="C9" s="53" t="s">
        <v>44</v>
      </c>
      <c r="D9" s="210" t="s">
        <v>41</v>
      </c>
      <c r="E9" s="210"/>
    </row>
    <row r="10" spans="1:5" ht="40.5" customHeight="1" x14ac:dyDescent="0.25">
      <c r="B10" s="54" t="s">
        <v>42</v>
      </c>
      <c r="C10" s="53" t="s">
        <v>43</v>
      </c>
      <c r="D10" s="209" t="s">
        <v>40</v>
      </c>
      <c r="E10" s="209"/>
    </row>
    <row r="11" spans="1:5" ht="50.25" customHeight="1" x14ac:dyDescent="0.25"/>
    <row r="12" spans="1:5" ht="30" x14ac:dyDescent="0.25">
      <c r="A12" s="55"/>
      <c r="B12" s="56" t="s">
        <v>45</v>
      </c>
      <c r="C12" s="56" t="s">
        <v>46</v>
      </c>
      <c r="D12" s="57" t="s">
        <v>47</v>
      </c>
      <c r="E12" s="57" t="s">
        <v>48</v>
      </c>
    </row>
    <row r="13" spans="1:5" ht="28.5" customHeight="1" x14ac:dyDescent="0.25">
      <c r="B13" s="50" t="s">
        <v>57</v>
      </c>
      <c r="C13" s="66">
        <v>1</v>
      </c>
      <c r="D13" s="72">
        <v>50</v>
      </c>
      <c r="E13" s="69">
        <f t="shared" ref="E13:E18" si="0">+C13*D13</f>
        <v>50</v>
      </c>
    </row>
    <row r="14" spans="1:5" ht="28.5" customHeight="1" x14ac:dyDescent="0.25">
      <c r="B14" s="58" t="s">
        <v>58</v>
      </c>
      <c r="C14" s="74">
        <v>2</v>
      </c>
      <c r="D14" s="73">
        <v>100</v>
      </c>
      <c r="E14" s="70">
        <f t="shared" si="0"/>
        <v>200</v>
      </c>
    </row>
    <row r="15" spans="1:5" ht="28.5" customHeight="1" x14ac:dyDescent="0.25">
      <c r="B15" s="50" t="s">
        <v>59</v>
      </c>
      <c r="C15" s="66">
        <v>3</v>
      </c>
      <c r="D15" s="72">
        <v>150</v>
      </c>
      <c r="E15" s="69">
        <f t="shared" si="0"/>
        <v>450</v>
      </c>
    </row>
    <row r="16" spans="1:5" ht="28.5" customHeight="1" x14ac:dyDescent="0.25">
      <c r="B16" s="58" t="s">
        <v>60</v>
      </c>
      <c r="C16" s="74">
        <v>1</v>
      </c>
      <c r="D16" s="73">
        <v>200</v>
      </c>
      <c r="E16" s="70">
        <f t="shared" si="0"/>
        <v>200</v>
      </c>
    </row>
    <row r="17" spans="2:5" ht="28.5" customHeight="1" x14ac:dyDescent="0.25">
      <c r="B17" s="50" t="s">
        <v>61</v>
      </c>
      <c r="C17" s="66">
        <v>1</v>
      </c>
      <c r="D17" s="72">
        <v>80</v>
      </c>
      <c r="E17" s="69">
        <f t="shared" si="0"/>
        <v>80</v>
      </c>
    </row>
    <row r="18" spans="2:5" ht="28.5" customHeight="1" x14ac:dyDescent="0.25">
      <c r="B18" s="58" t="s">
        <v>62</v>
      </c>
      <c r="C18" s="74">
        <v>1</v>
      </c>
      <c r="D18" s="73">
        <v>40</v>
      </c>
      <c r="E18" s="70">
        <f t="shared" si="0"/>
        <v>40</v>
      </c>
    </row>
    <row r="19" spans="2:5" ht="29.25" customHeight="1" x14ac:dyDescent="0.25">
      <c r="D19" s="67"/>
      <c r="E19" s="67"/>
    </row>
    <row r="20" spans="2:5" ht="3" customHeight="1" x14ac:dyDescent="0.25">
      <c r="B20" s="58"/>
      <c r="C20" s="58"/>
      <c r="D20" s="58"/>
      <c r="E20" s="58"/>
    </row>
    <row r="21" spans="2:5" x14ac:dyDescent="0.25">
      <c r="D21" s="63" t="s">
        <v>51</v>
      </c>
      <c r="E21" s="68">
        <f>SUM(E13:E19)</f>
        <v>1020</v>
      </c>
    </row>
    <row r="22" spans="2:5" x14ac:dyDescent="0.25">
      <c r="D22" s="63" t="s">
        <v>49</v>
      </c>
      <c r="E22" s="67">
        <f>+E21*10%</f>
        <v>102</v>
      </c>
    </row>
    <row r="23" spans="2:5" x14ac:dyDescent="0.25">
      <c r="D23" s="64" t="s">
        <v>50</v>
      </c>
      <c r="E23" s="71">
        <f>+E21+E22</f>
        <v>1122</v>
      </c>
    </row>
    <row r="24" spans="2:5" ht="84.75" customHeight="1" x14ac:dyDescent="0.25"/>
    <row r="25" spans="2:5" ht="46.5" customHeight="1" x14ac:dyDescent="0.25">
      <c r="B25" s="59" t="s">
        <v>56</v>
      </c>
      <c r="C25" s="211" t="s">
        <v>52</v>
      </c>
      <c r="D25" s="211"/>
      <c r="E25" s="211"/>
    </row>
    <row r="26" spans="2:5" ht="1.5" customHeight="1" x14ac:dyDescent="0.4">
      <c r="B26" s="60"/>
      <c r="C26" s="61"/>
      <c r="D26" s="62"/>
      <c r="E26" s="62"/>
    </row>
    <row r="28" spans="2:5" x14ac:dyDescent="0.25">
      <c r="B28" s="205" t="s">
        <v>53</v>
      </c>
      <c r="C28" s="205"/>
      <c r="D28" s="205"/>
      <c r="E28" s="205"/>
    </row>
  </sheetData>
  <mergeCells count="7">
    <mergeCell ref="B28:E28"/>
    <mergeCell ref="C3:E3"/>
    <mergeCell ref="C8:E8"/>
    <mergeCell ref="B6:B7"/>
    <mergeCell ref="D10:E10"/>
    <mergeCell ref="D9:E9"/>
    <mergeCell ref="C25:E25"/>
  </mergeCells>
  <pageMargins left="0.70866141732283472" right="0.70866141732283472" top="0.74803149606299213" bottom="0.35433070866141736" header="0.31496062992125984" footer="0.31496062992125984"/>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7"/>
  <sheetViews>
    <sheetView zoomScale="160" zoomScaleNormal="160" workbookViewId="0">
      <selection activeCell="E10" sqref="E10"/>
    </sheetView>
  </sheetViews>
  <sheetFormatPr defaultRowHeight="15" x14ac:dyDescent="0.25"/>
  <cols>
    <col min="1" max="1" width="4.42578125" customWidth="1"/>
    <col min="2" max="2" width="55.5703125" customWidth="1"/>
    <col min="3" max="3" width="11.140625" customWidth="1"/>
    <col min="4" max="5" width="10.42578125" customWidth="1"/>
    <col min="6" max="7" width="9" customWidth="1"/>
    <col min="8" max="8" width="11.140625" customWidth="1"/>
    <col min="9" max="9" width="9.140625" customWidth="1"/>
    <col min="10" max="10" width="9" customWidth="1"/>
  </cols>
  <sheetData>
    <row r="1" spans="1:12" ht="18.75" x14ac:dyDescent="0.25">
      <c r="A1" s="200" t="s">
        <v>33</v>
      </c>
      <c r="B1" s="200"/>
      <c r="C1" s="200"/>
      <c r="D1" s="200"/>
      <c r="H1" t="s">
        <v>32</v>
      </c>
      <c r="I1">
        <v>23500</v>
      </c>
    </row>
    <row r="2" spans="1:12" ht="4.5" customHeight="1" x14ac:dyDescent="0.25">
      <c r="A2" s="48"/>
    </row>
    <row r="3" spans="1:12" ht="9" customHeight="1" x14ac:dyDescent="0.25">
      <c r="A3" s="24"/>
    </row>
    <row r="4" spans="1:12" ht="30" x14ac:dyDescent="0.25">
      <c r="A4" s="191" t="s">
        <v>14</v>
      </c>
      <c r="B4" s="23"/>
      <c r="C4" s="23" t="s">
        <v>13</v>
      </c>
      <c r="D4" s="23" t="s">
        <v>12</v>
      </c>
      <c r="E4" s="46" t="s">
        <v>11</v>
      </c>
    </row>
    <row r="5" spans="1:12" x14ac:dyDescent="0.25">
      <c r="A5" s="201"/>
      <c r="B5" s="47" t="s">
        <v>10</v>
      </c>
      <c r="C5" s="47" t="s">
        <v>9</v>
      </c>
      <c r="D5" s="47" t="s">
        <v>9</v>
      </c>
      <c r="E5" s="46" t="s">
        <v>9</v>
      </c>
      <c r="H5" t="s">
        <v>31</v>
      </c>
      <c r="I5" t="s">
        <v>30</v>
      </c>
    </row>
    <row r="6" spans="1:12" ht="36" x14ac:dyDescent="0.25">
      <c r="A6" s="192"/>
      <c r="B6" s="22"/>
      <c r="C6" s="45" t="s">
        <v>29</v>
      </c>
      <c r="D6" s="44" t="s">
        <v>28</v>
      </c>
      <c r="E6" s="43" t="s">
        <v>28</v>
      </c>
      <c r="L6" s="17">
        <f>SUM(E7:E8)</f>
        <v>280</v>
      </c>
    </row>
    <row r="7" spans="1:12" ht="30" x14ac:dyDescent="0.25">
      <c r="A7" s="19">
        <v>1</v>
      </c>
      <c r="B7" s="25" t="s">
        <v>70</v>
      </c>
      <c r="C7" s="20">
        <v>0</v>
      </c>
      <c r="D7" s="19">
        <f>80*3</f>
        <v>240</v>
      </c>
      <c r="E7" s="93">
        <f>+D7</f>
        <v>240</v>
      </c>
      <c r="F7" s="49">
        <v>34</v>
      </c>
      <c r="H7" s="42">
        <v>400000</v>
      </c>
    </row>
    <row r="8" spans="1:12" ht="15" customHeight="1" x14ac:dyDescent="0.25">
      <c r="A8" s="87">
        <v>2</v>
      </c>
      <c r="B8" s="88" t="s">
        <v>62</v>
      </c>
      <c r="C8" s="41">
        <v>0</v>
      </c>
      <c r="D8" s="92">
        <v>40</v>
      </c>
      <c r="E8" s="94">
        <f>+C8+D8</f>
        <v>40</v>
      </c>
      <c r="F8" s="49">
        <f>115.5*2</f>
        <v>231</v>
      </c>
      <c r="H8" s="40">
        <v>600000</v>
      </c>
    </row>
    <row r="9" spans="1:12" x14ac:dyDescent="0.25">
      <c r="A9" s="9">
        <v>3</v>
      </c>
      <c r="B9" s="36" t="s">
        <v>71</v>
      </c>
      <c r="C9" s="9"/>
      <c r="D9" s="9">
        <f>+D7*10%</f>
        <v>24</v>
      </c>
      <c r="E9" s="95">
        <f>+D9</f>
        <v>24</v>
      </c>
      <c r="F9" s="49">
        <f>SUM(F7:F8)</f>
        <v>265</v>
      </c>
    </row>
    <row r="10" spans="1:12" ht="21.75" customHeight="1" x14ac:dyDescent="0.25">
      <c r="A10" s="195" t="s">
        <v>72</v>
      </c>
      <c r="B10" s="196"/>
      <c r="C10" s="197"/>
      <c r="D10" s="34"/>
      <c r="E10" s="33">
        <f>SUM(E7:E9)</f>
        <v>304</v>
      </c>
      <c r="F10" s="49">
        <f>+F9+12</f>
        <v>277</v>
      </c>
    </row>
    <row r="11" spans="1:12" ht="7.5" customHeight="1" x14ac:dyDescent="0.25">
      <c r="A11" s="5"/>
      <c r="B11" s="4"/>
      <c r="D11" s="91"/>
      <c r="E11" s="2"/>
    </row>
    <row r="12" spans="1:12" x14ac:dyDescent="0.25">
      <c r="A12" s="1"/>
    </row>
    <row r="13" spans="1:12" x14ac:dyDescent="0.25">
      <c r="A13" s="28"/>
      <c r="B13" s="27"/>
      <c r="C13" s="26"/>
      <c r="D13" s="26"/>
      <c r="E13" s="25"/>
    </row>
    <row r="14" spans="1:12" ht="7.5" customHeight="1" x14ac:dyDescent="0.25"/>
    <row r="16" spans="1:12" ht="18.75" x14ac:dyDescent="0.25">
      <c r="A16" s="193" t="s">
        <v>15</v>
      </c>
      <c r="B16" s="193"/>
      <c r="C16" s="193"/>
      <c r="D16" s="193"/>
      <c r="E16" s="193"/>
    </row>
    <row r="17" spans="1:7" x14ac:dyDescent="0.25">
      <c r="A17" s="24"/>
    </row>
    <row r="18" spans="1:7" ht="30" x14ac:dyDescent="0.25">
      <c r="A18" s="191" t="s">
        <v>14</v>
      </c>
      <c r="B18" s="23"/>
      <c r="C18" s="23" t="s">
        <v>13</v>
      </c>
      <c r="D18" s="23" t="s">
        <v>12</v>
      </c>
      <c r="E18" s="23" t="s">
        <v>11</v>
      </c>
    </row>
    <row r="19" spans="1:7" x14ac:dyDescent="0.25">
      <c r="A19" s="192"/>
      <c r="B19" s="22" t="s">
        <v>10</v>
      </c>
      <c r="C19" s="22" t="s">
        <v>9</v>
      </c>
      <c r="D19" s="22" t="s">
        <v>9</v>
      </c>
      <c r="E19" s="22" t="s">
        <v>9</v>
      </c>
      <c r="G19" t="s">
        <v>8</v>
      </c>
    </row>
    <row r="20" spans="1:7" ht="30" customHeight="1" x14ac:dyDescent="0.25">
      <c r="A20" s="183">
        <v>1</v>
      </c>
      <c r="B20" s="21" t="s">
        <v>7</v>
      </c>
      <c r="C20" s="20"/>
      <c r="D20" s="19"/>
      <c r="E20" s="18"/>
      <c r="G20" s="17">
        <f>SUM(D21:D23)</f>
        <v>310</v>
      </c>
    </row>
    <row r="21" spans="1:7" ht="30" x14ac:dyDescent="0.25">
      <c r="A21" s="183"/>
      <c r="B21" s="16" t="s">
        <v>6</v>
      </c>
      <c r="C21" s="13">
        <v>140</v>
      </c>
      <c r="D21" s="89">
        <v>155</v>
      </c>
      <c r="E21" s="11">
        <f>+C21+D21</f>
        <v>295</v>
      </c>
    </row>
    <row r="22" spans="1:7" ht="30" x14ac:dyDescent="0.25">
      <c r="A22" s="184"/>
      <c r="B22" s="14" t="s">
        <v>5</v>
      </c>
      <c r="C22" s="13">
        <v>220</v>
      </c>
      <c r="D22" s="12">
        <v>155</v>
      </c>
      <c r="E22" s="11">
        <f>+C22+D22</f>
        <v>375</v>
      </c>
    </row>
    <row r="23" spans="1:7" ht="21" customHeight="1" x14ac:dyDescent="0.25">
      <c r="A23" s="188" t="s">
        <v>4</v>
      </c>
      <c r="B23" s="189"/>
      <c r="C23" s="189"/>
      <c r="D23" s="189"/>
      <c r="E23" s="190"/>
    </row>
    <row r="24" spans="1:7" ht="15" customHeight="1" x14ac:dyDescent="0.25">
      <c r="A24" s="9" t="s">
        <v>3</v>
      </c>
      <c r="B24" s="10" t="s">
        <v>2</v>
      </c>
      <c r="C24" s="9"/>
      <c r="D24" s="8">
        <v>40</v>
      </c>
      <c r="E24" s="7">
        <f>+D24</f>
        <v>40</v>
      </c>
    </row>
    <row r="25" spans="1:7" ht="15.75" thickBot="1" x14ac:dyDescent="0.3">
      <c r="A25" s="185" t="s">
        <v>1</v>
      </c>
      <c r="B25" s="186"/>
      <c r="C25" s="186"/>
      <c r="D25" s="187"/>
      <c r="E25" s="6">
        <f>SUM(E21:E24)</f>
        <v>710</v>
      </c>
    </row>
    <row r="26" spans="1:7" ht="7.5" customHeight="1" thickTop="1" x14ac:dyDescent="0.25">
      <c r="A26" s="5"/>
      <c r="B26" s="4"/>
      <c r="D26" s="91"/>
      <c r="E26" s="2"/>
    </row>
    <row r="27" spans="1:7" x14ac:dyDescent="0.25">
      <c r="A27" s="1" t="s">
        <v>0</v>
      </c>
    </row>
  </sheetData>
  <mergeCells count="8">
    <mergeCell ref="A1:D1"/>
    <mergeCell ref="A4:A6"/>
    <mergeCell ref="A23:E23"/>
    <mergeCell ref="A25:D25"/>
    <mergeCell ref="A10:C10"/>
    <mergeCell ref="A16:E16"/>
    <mergeCell ref="A18:A19"/>
    <mergeCell ref="A20:A22"/>
  </mergeCells>
  <pageMargins left="0.7" right="0.7" top="1.2466666666666666" bottom="0.75" header="0.3" footer="0.3"/>
  <pageSetup paperSize="9" scale="88" orientation="portrait" verticalDpi="0" r:id="rId1"/>
  <headerFooter>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27"/>
  <sheetViews>
    <sheetView tabSelected="1" zoomScale="85" zoomScaleNormal="85" workbookViewId="0">
      <selection activeCell="N9" sqref="N9"/>
    </sheetView>
  </sheetViews>
  <sheetFormatPr defaultColWidth="9" defaultRowHeight="15" x14ac:dyDescent="0.25"/>
  <cols>
    <col min="1" max="1" width="10.140625" style="75" customWidth="1"/>
    <col min="2" max="2" width="38.85546875" style="50" customWidth="1"/>
    <col min="3" max="3" width="3" style="50" customWidth="1"/>
    <col min="4" max="4" width="11.28515625" style="50" customWidth="1"/>
    <col min="5" max="5" width="11.42578125" style="50" customWidth="1"/>
    <col min="6" max="6" width="19.140625" style="50" customWidth="1"/>
    <col min="7" max="7" width="14.28515625" style="50" bestFit="1" customWidth="1"/>
    <col min="8" max="9" width="9" style="50"/>
    <col min="10" max="13" width="14.28515625" style="50" bestFit="1" customWidth="1"/>
    <col min="14" max="16384" width="9" style="50"/>
  </cols>
  <sheetData>
    <row r="1" spans="1:14" x14ac:dyDescent="0.25">
      <c r="K1" s="81"/>
      <c r="L1" s="81" t="s">
        <v>65</v>
      </c>
      <c r="M1" s="81"/>
    </row>
    <row r="2" spans="1:14" ht="25.5" x14ac:dyDescent="0.35">
      <c r="D2" s="221" t="s">
        <v>109</v>
      </c>
      <c r="E2" s="221"/>
      <c r="F2" s="221"/>
      <c r="K2" s="81"/>
      <c r="L2" s="81" t="s">
        <v>66</v>
      </c>
      <c r="M2" s="81"/>
    </row>
    <row r="3" spans="1:14" ht="18" customHeight="1" x14ac:dyDescent="0.25">
      <c r="D3" s="135" t="s">
        <v>35</v>
      </c>
      <c r="E3" s="215"/>
      <c r="F3" s="215"/>
      <c r="K3" s="82" t="s">
        <v>67</v>
      </c>
      <c r="L3" s="81"/>
      <c r="M3" s="83">
        <f>+VALUE(L3)</f>
        <v>0</v>
      </c>
      <c r="N3" s="50" t="s">
        <v>69</v>
      </c>
    </row>
    <row r="4" spans="1:14" ht="16.5" customHeight="1" x14ac:dyDescent="0.25">
      <c r="D4" s="135" t="s">
        <v>77</v>
      </c>
      <c r="E4" s="216"/>
      <c r="F4" s="216"/>
    </row>
    <row r="5" spans="1:14" ht="19.5" customHeight="1" x14ac:dyDescent="0.25">
      <c r="B5" s="107" t="s">
        <v>122</v>
      </c>
      <c r="D5" s="135" t="s">
        <v>79</v>
      </c>
      <c r="E5" s="217"/>
      <c r="F5" s="217"/>
    </row>
    <row r="6" spans="1:14" ht="18" customHeight="1" x14ac:dyDescent="0.35">
      <c r="B6" s="179"/>
      <c r="C6" s="100"/>
      <c r="D6" s="135" t="s">
        <v>78</v>
      </c>
      <c r="E6" s="225"/>
      <c r="F6" s="225"/>
    </row>
    <row r="7" spans="1:14" ht="21.75" customHeight="1" x14ac:dyDescent="0.25">
      <c r="B7" s="156"/>
      <c r="C7" s="85"/>
      <c r="D7" s="135" t="s">
        <v>98</v>
      </c>
      <c r="E7" s="225"/>
      <c r="F7" s="225"/>
    </row>
    <row r="8" spans="1:14" ht="27.75" customHeight="1" x14ac:dyDescent="0.25">
      <c r="B8" s="178"/>
      <c r="C8" s="97"/>
      <c r="D8" s="228" t="s">
        <v>76</v>
      </c>
      <c r="E8" s="228"/>
      <c r="F8" s="228"/>
    </row>
    <row r="9" spans="1:14" ht="47.25" customHeight="1" x14ac:dyDescent="0.25">
      <c r="B9" s="181"/>
      <c r="C9" s="96"/>
      <c r="D9" s="226"/>
      <c r="E9" s="226"/>
      <c r="F9" s="226"/>
    </row>
    <row r="10" spans="1:14" ht="9.75" customHeight="1" x14ac:dyDescent="0.25">
      <c r="A10" s="149"/>
      <c r="B10" s="150"/>
      <c r="C10" s="150"/>
      <c r="D10" s="151"/>
      <c r="E10" s="151"/>
      <c r="F10" s="151"/>
    </row>
    <row r="11" spans="1:14" ht="15.75" x14ac:dyDescent="0.25">
      <c r="A11" s="149"/>
      <c r="B11" s="227" t="s">
        <v>96</v>
      </c>
      <c r="C11" s="227"/>
      <c r="D11" s="227"/>
      <c r="E11" s="227"/>
      <c r="F11" s="227"/>
      <c r="G11" s="50" t="s">
        <v>95</v>
      </c>
    </row>
    <row r="12" spans="1:14" ht="18" customHeight="1" x14ac:dyDescent="0.25">
      <c r="A12" s="149"/>
      <c r="B12" s="152" t="s">
        <v>80</v>
      </c>
      <c r="C12" s="153"/>
      <c r="D12" s="229">
        <f>+L13</f>
        <v>0</v>
      </c>
      <c r="E12" s="229"/>
      <c r="F12" s="154"/>
      <c r="G12" s="133" t="s">
        <v>73</v>
      </c>
      <c r="K12" s="50" t="s">
        <v>74</v>
      </c>
      <c r="L12" s="224"/>
      <c r="M12" s="224"/>
    </row>
    <row r="13" spans="1:14" ht="31.5" customHeight="1" x14ac:dyDescent="0.25">
      <c r="A13" s="149"/>
      <c r="B13" s="152" t="s">
        <v>81</v>
      </c>
      <c r="C13" s="153"/>
      <c r="D13" s="218" t="s">
        <v>104</v>
      </c>
      <c r="E13" s="218"/>
      <c r="F13" s="218"/>
      <c r="K13" s="50" t="s">
        <v>73</v>
      </c>
      <c r="L13" s="223"/>
      <c r="M13" s="223"/>
    </row>
    <row r="14" spans="1:14" ht="15.75" customHeight="1" x14ac:dyDescent="0.25">
      <c r="A14" s="149"/>
      <c r="B14" s="152" t="s">
        <v>100</v>
      </c>
      <c r="C14" s="155"/>
      <c r="D14" s="222" t="s">
        <v>105</v>
      </c>
      <c r="E14" s="222"/>
      <c r="F14" s="222"/>
      <c r="L14" s="139"/>
      <c r="M14" s="139"/>
    </row>
    <row r="15" spans="1:14" ht="28.5" customHeight="1" x14ac:dyDescent="0.25">
      <c r="A15" s="149"/>
      <c r="B15" s="152" t="s">
        <v>101</v>
      </c>
      <c r="C15" s="155"/>
      <c r="D15" s="218" t="s">
        <v>126</v>
      </c>
      <c r="E15" s="218"/>
      <c r="F15" s="218"/>
      <c r="L15" s="139"/>
      <c r="M15" s="139"/>
    </row>
    <row r="16" spans="1:14" ht="18.95" customHeight="1" x14ac:dyDescent="0.25">
      <c r="A16" s="149"/>
      <c r="B16" s="152" t="s">
        <v>106</v>
      </c>
      <c r="C16" s="153"/>
      <c r="D16" s="218" t="s">
        <v>107</v>
      </c>
      <c r="E16" s="218"/>
      <c r="F16" s="218"/>
      <c r="L16" s="143"/>
      <c r="M16" s="143"/>
    </row>
    <row r="17" spans="1:12" ht="18.95" customHeight="1" x14ac:dyDescent="0.25">
      <c r="A17" s="149"/>
      <c r="B17" s="152" t="s">
        <v>75</v>
      </c>
      <c r="C17" s="153"/>
      <c r="D17" s="222" t="s">
        <v>127</v>
      </c>
      <c r="E17" s="222"/>
      <c r="F17" s="222"/>
    </row>
    <row r="18" spans="1:12" ht="17.25" customHeight="1" x14ac:dyDescent="0.25">
      <c r="A18" s="149"/>
      <c r="B18" s="152" t="s">
        <v>125</v>
      </c>
      <c r="C18" s="153"/>
      <c r="D18" s="230"/>
      <c r="E18" s="230"/>
      <c r="F18" s="230"/>
    </row>
    <row r="19" spans="1:12" ht="8.25" customHeight="1" x14ac:dyDescent="0.25">
      <c r="B19" s="79"/>
      <c r="D19" s="99"/>
      <c r="E19" s="99"/>
      <c r="F19" s="99"/>
    </row>
    <row r="20" spans="1:12" ht="30" x14ac:dyDescent="0.25">
      <c r="A20" s="85"/>
      <c r="B20" s="101" t="s">
        <v>45</v>
      </c>
      <c r="C20" s="101"/>
      <c r="D20" s="101" t="s">
        <v>46</v>
      </c>
      <c r="E20" s="102" t="s">
        <v>47</v>
      </c>
      <c r="F20" s="102" t="s">
        <v>48</v>
      </c>
      <c r="H20" s="177" t="s">
        <v>68</v>
      </c>
      <c r="I20" s="161" t="s">
        <v>111</v>
      </c>
      <c r="J20" s="50" t="s">
        <v>119</v>
      </c>
      <c r="K20" s="50" t="s">
        <v>120</v>
      </c>
      <c r="L20" s="177" t="s">
        <v>121</v>
      </c>
    </row>
    <row r="21" spans="1:12" ht="33.75" customHeight="1" x14ac:dyDescent="0.25">
      <c r="A21" s="86">
        <f t="shared" ref="A21:A29" si="0">IF($M$3&gt;=H21,H21,"")</f>
        <v>0</v>
      </c>
      <c r="B21" s="145"/>
      <c r="C21" s="145"/>
      <c r="D21" s="146"/>
      <c r="E21" s="136"/>
      <c r="F21" s="136"/>
      <c r="H21" s="81"/>
      <c r="I21" s="50" t="str">
        <f>IF(B21="","",VLOOKUP($E$4&amp;1,#REF!,23,FALSE))</f>
        <v/>
      </c>
      <c r="J21" s="160" t="e">
        <f>IF(I21="cpn",0%,VLOOKUP($E$4&amp;1,#REF!,22,FALSE))</f>
        <v>#REF!</v>
      </c>
      <c r="K21" s="50" t="str">
        <f>IF(B21="","",F21*J21)</f>
        <v/>
      </c>
      <c r="L21" s="50" t="str">
        <f>IF(B21="","",J21*100)</f>
        <v/>
      </c>
    </row>
    <row r="22" spans="1:12" ht="21.75" customHeight="1" x14ac:dyDescent="0.25">
      <c r="A22" s="86">
        <f t="shared" si="0"/>
        <v>0</v>
      </c>
      <c r="B22" s="174"/>
      <c r="C22" s="174"/>
      <c r="D22" s="175"/>
      <c r="E22" s="180"/>
      <c r="F22" s="180" t="str">
        <f t="shared" ref="F21:F29" si="1">IF(B22="","",D22*E22)</f>
        <v/>
      </c>
      <c r="H22" s="81"/>
      <c r="I22" s="50" t="str">
        <f>IF(B22="","",VLOOKUP($E$4&amp;2,#REF!,23,FALSE))</f>
        <v/>
      </c>
      <c r="J22" s="160" t="str">
        <f>IF(B22="","",IF(I22="cpn",0%,VLOOKUP($E$4&amp;2,#REF!,22,FALSE)))</f>
        <v/>
      </c>
      <c r="K22" s="50" t="str">
        <f t="shared" ref="K22:K29" si="2">IF(B22="","",F22*J22)</f>
        <v/>
      </c>
      <c r="L22" s="50" t="str">
        <f t="shared" ref="L22:L29" si="3">IF(B22="","",J22*100)</f>
        <v/>
      </c>
    </row>
    <row r="23" spans="1:12" ht="20.25" customHeight="1" x14ac:dyDescent="0.25">
      <c r="A23" s="86">
        <f t="shared" si="0"/>
        <v>0</v>
      </c>
      <c r="B23" s="171"/>
      <c r="C23" s="172"/>
      <c r="D23" s="173"/>
      <c r="E23" s="136"/>
      <c r="F23" s="136" t="str">
        <f t="shared" si="1"/>
        <v/>
      </c>
      <c r="H23" s="81"/>
      <c r="I23" s="50" t="str">
        <f>IF(B23="","",VLOOKUP($E$4&amp;3,#REF!,23,FALSE))</f>
        <v/>
      </c>
      <c r="J23" s="160" t="str">
        <f>IF(B23="","",IF(I23="cpn",0%,VLOOKUP($E$4&amp;3,#REF!,22,FALSE)))</f>
        <v/>
      </c>
      <c r="K23" s="50" t="str">
        <f t="shared" si="2"/>
        <v/>
      </c>
      <c r="L23" s="50" t="str">
        <f t="shared" si="3"/>
        <v/>
      </c>
    </row>
    <row r="24" spans="1:12" ht="18" customHeight="1" x14ac:dyDescent="0.25">
      <c r="A24" s="86">
        <f t="shared" si="0"/>
        <v>0</v>
      </c>
      <c r="B24" s="174"/>
      <c r="C24" s="174"/>
      <c r="D24" s="175"/>
      <c r="E24" s="180"/>
      <c r="F24" s="180" t="str">
        <f t="shared" si="1"/>
        <v/>
      </c>
      <c r="H24" s="81"/>
      <c r="I24" s="50" t="str">
        <f>IF(B24="","",VLOOKUP($E$4&amp;4,#REF!,23,FALSE))</f>
        <v/>
      </c>
      <c r="J24" s="160" t="str">
        <f>IF(B24="","",IF(I24="cpn",0%,VLOOKUP($E$4&amp;4,#REF!,22,FALSE)))</f>
        <v/>
      </c>
      <c r="K24" s="50" t="str">
        <f t="shared" si="2"/>
        <v/>
      </c>
      <c r="L24" s="50" t="str">
        <f t="shared" si="3"/>
        <v/>
      </c>
    </row>
    <row r="25" spans="1:12" ht="18" customHeight="1" x14ac:dyDescent="0.25">
      <c r="A25" s="86">
        <f t="shared" si="0"/>
        <v>0</v>
      </c>
      <c r="B25" s="171"/>
      <c r="C25" s="176"/>
      <c r="D25" s="173"/>
      <c r="E25" s="136"/>
      <c r="F25" s="136" t="str">
        <f t="shared" si="1"/>
        <v/>
      </c>
      <c r="H25" s="81"/>
      <c r="I25" s="50" t="str">
        <f>IF(B25="","",VLOOKUP($E$4&amp;5,#REF!,23,FALSE))</f>
        <v/>
      </c>
      <c r="J25" s="160" t="str">
        <f>IF(B25="","",IF(I25="cpn",0%,VLOOKUP($E$4&amp;5,#REF!,22,FALSE)))</f>
        <v/>
      </c>
      <c r="K25" s="50" t="str">
        <f t="shared" si="2"/>
        <v/>
      </c>
      <c r="L25" s="50" t="str">
        <f t="shared" si="3"/>
        <v/>
      </c>
    </row>
    <row r="26" spans="1:12" ht="21.95" hidden="1" customHeight="1" x14ac:dyDescent="0.25">
      <c r="A26" s="86" t="str">
        <f t="shared" si="0"/>
        <v/>
      </c>
      <c r="B26" s="174" t="str">
        <f>IF(A26="","",VLOOKUP($E$4&amp;6,#REF!,10,FALSE))</f>
        <v/>
      </c>
      <c r="C26" s="138"/>
      <c r="D26" s="175" t="str">
        <f>IF(A26="","",VLOOKUP($E$4&amp;6,#REF!,11,FALSE))</f>
        <v/>
      </c>
      <c r="E26" s="137" t="str">
        <f>IF(A26="","",VLOOKUP($E$4&amp;6,#REF!,12,FALSE))</f>
        <v/>
      </c>
      <c r="F26" s="137" t="str">
        <f t="shared" si="1"/>
        <v/>
      </c>
      <c r="H26" s="81">
        <v>6</v>
      </c>
      <c r="I26" s="50" t="str">
        <f>IF(B26="","",VLOOKUP($E$4&amp;6,#REF!,23,FALSE))</f>
        <v/>
      </c>
      <c r="J26" s="160" t="str">
        <f>IF(B26="","",IF(I26="cpn",0%,VLOOKUP($E$4&amp;6,#REF!,22,FALSE)))</f>
        <v/>
      </c>
      <c r="K26" s="50" t="str">
        <f t="shared" si="2"/>
        <v/>
      </c>
      <c r="L26" s="50" t="str">
        <f t="shared" si="3"/>
        <v/>
      </c>
    </row>
    <row r="27" spans="1:12" ht="21.95" hidden="1" customHeight="1" x14ac:dyDescent="0.25">
      <c r="A27" s="86" t="str">
        <f t="shared" si="0"/>
        <v/>
      </c>
      <c r="B27" s="171" t="str">
        <f>IF(A27="","",VLOOKUP($E$4&amp;7,#REF!,10,FALSE))</f>
        <v/>
      </c>
      <c r="C27" s="134"/>
      <c r="D27" s="173" t="str">
        <f>IF(A27="","",VLOOKUP($E$4&amp;7,#REF!,11,FALSE))</f>
        <v/>
      </c>
      <c r="E27" s="136" t="str">
        <f>IF(A27="","",VLOOKUP($E$4&amp;7,#REF!,12,FALSE))</f>
        <v/>
      </c>
      <c r="F27" s="136" t="str">
        <f t="shared" si="1"/>
        <v/>
      </c>
      <c r="H27" s="50">
        <v>7</v>
      </c>
      <c r="I27" s="50" t="str">
        <f>IF(B27="","",VLOOKUP($E$4&amp;7,#REF!,23,FALSE))</f>
        <v/>
      </c>
      <c r="J27" s="160" t="str">
        <f>IF(B27="","",IF(I27="cpn",0%,VLOOKUP($E$4&amp;7,#REF!,22,FALSE)))</f>
        <v/>
      </c>
      <c r="K27" s="50" t="str">
        <f t="shared" si="2"/>
        <v/>
      </c>
      <c r="L27" s="50" t="str">
        <f t="shared" si="3"/>
        <v/>
      </c>
    </row>
    <row r="28" spans="1:12" ht="18" hidden="1" customHeight="1" x14ac:dyDescent="0.25">
      <c r="A28" s="86" t="str">
        <f t="shared" si="0"/>
        <v/>
      </c>
      <c r="B28" s="174" t="str">
        <f>IF(A28="","",VLOOKUP($E$4&amp;8,#REF!,10,FALSE))</f>
        <v/>
      </c>
      <c r="C28" s="138"/>
      <c r="D28" s="175" t="str">
        <f>IF(A28="","",VLOOKUP($E$4&amp;8,#REF!,11,FALSE))</f>
        <v/>
      </c>
      <c r="E28" s="137" t="str">
        <f>IF(A28="","",VLOOKUP($E$4&amp;8,#REF!,12,FALSE))</f>
        <v/>
      </c>
      <c r="F28" s="137" t="str">
        <f t="shared" si="1"/>
        <v/>
      </c>
      <c r="H28" s="50">
        <v>8</v>
      </c>
      <c r="I28" s="50" t="str">
        <f>IF(B28="","",VLOOKUP($E$4&amp;8,#REF!,23,FALSE))</f>
        <v/>
      </c>
      <c r="J28" s="160" t="str">
        <f>IF(B28="","",IF(I28="cpn",0%,VLOOKUP($E$4&amp;8,#REF!,22,FALSE)))</f>
        <v/>
      </c>
      <c r="K28" s="50" t="str">
        <f t="shared" si="2"/>
        <v/>
      </c>
      <c r="L28" s="50" t="str">
        <f t="shared" si="3"/>
        <v/>
      </c>
    </row>
    <row r="29" spans="1:12" ht="18" hidden="1" customHeight="1" x14ac:dyDescent="0.25">
      <c r="A29" s="86" t="str">
        <f t="shared" si="0"/>
        <v/>
      </c>
      <c r="B29" s="171" t="str">
        <f>IF(A29="","",VLOOKUP($E$4&amp;9,#REF!,10,FALSE))</f>
        <v/>
      </c>
      <c r="C29" s="134"/>
      <c r="D29" s="173" t="str">
        <f>IF(A29="","",VLOOKUP($E$4&amp;9,#REF!,11,FALSE))</f>
        <v/>
      </c>
      <c r="E29" s="136" t="str">
        <f>IF(A29="","",VLOOKUP($E$4&amp;9,#REF!,12,FALSE))</f>
        <v/>
      </c>
      <c r="F29" s="136" t="str">
        <f t="shared" si="1"/>
        <v/>
      </c>
      <c r="H29" s="50">
        <v>9</v>
      </c>
      <c r="I29" s="50" t="str">
        <f>IF(B29="","",VLOOKUP($E$4&amp;9,#REF!,23,FALSE))</f>
        <v/>
      </c>
      <c r="J29" s="160" t="str">
        <f>IF(B29="","",IF(I29="cpn",0%,VLOOKUP($E$4&amp;9,#REF!,22,FALSE)))</f>
        <v/>
      </c>
      <c r="K29" s="50" t="str">
        <f t="shared" si="2"/>
        <v/>
      </c>
      <c r="L29" s="50" t="str">
        <f t="shared" si="3"/>
        <v/>
      </c>
    </row>
    <row r="30" spans="1:12" ht="18" customHeight="1" x14ac:dyDescent="0.25">
      <c r="B30" s="182"/>
      <c r="C30" s="182"/>
      <c r="D30" s="182"/>
      <c r="E30" s="182"/>
      <c r="F30" s="182"/>
    </row>
    <row r="31" spans="1:12" x14ac:dyDescent="0.25">
      <c r="B31" s="76"/>
      <c r="C31" s="76"/>
      <c r="D31" s="76"/>
      <c r="E31" s="77" t="s">
        <v>103</v>
      </c>
      <c r="F31" s="80"/>
      <c r="G31" s="142"/>
    </row>
    <row r="32" spans="1:12" s="147" customFormat="1" x14ac:dyDescent="0.25">
      <c r="A32" s="86"/>
      <c r="B32" s="157"/>
      <c r="C32" s="157"/>
      <c r="D32" s="157"/>
      <c r="E32" s="158" t="str">
        <f>"VAT ("&amp;L21&amp;"%)"</f>
        <v>VAT (%)</v>
      </c>
      <c r="F32" s="159"/>
      <c r="G32" s="142"/>
      <c r="H32" s="148"/>
    </row>
    <row r="33" spans="1:13" x14ac:dyDescent="0.25">
      <c r="C33" s="76"/>
      <c r="D33" s="76"/>
      <c r="E33" s="78" t="s">
        <v>102</v>
      </c>
      <c r="F33" s="108">
        <f>+F31+F32</f>
        <v>0</v>
      </c>
      <c r="G33" s="142"/>
      <c r="L33" s="142"/>
      <c r="M33" s="142"/>
    </row>
    <row r="34" spans="1:13" x14ac:dyDescent="0.25">
      <c r="B34" s="147" t="str">
        <f>"Exchange rate: "&amp;"23,000 VND/USD"</f>
        <v>Exchange rate: 23,000 VND/USD</v>
      </c>
      <c r="C34" s="214" t="s">
        <v>99</v>
      </c>
      <c r="D34" s="214"/>
      <c r="E34" s="213" t="e">
        <f>+F33*G34</f>
        <v>#REF!</v>
      </c>
      <c r="F34" s="213"/>
      <c r="G34" s="83" t="e">
        <f>VLOOKUP($E$4&amp;1,#REF!,24,FALSE)</f>
        <v>#REF!</v>
      </c>
      <c r="J34" s="142"/>
      <c r="K34" s="142"/>
      <c r="L34" s="142"/>
      <c r="M34" s="142"/>
    </row>
    <row r="35" spans="1:13" ht="6" customHeight="1" x14ac:dyDescent="0.25">
      <c r="C35" s="76"/>
      <c r="D35" s="76"/>
      <c r="E35" s="78"/>
      <c r="F35" s="108"/>
    </row>
    <row r="36" spans="1:13" ht="40.5" customHeight="1" x14ac:dyDescent="0.25">
      <c r="B36" s="212" t="s">
        <v>123</v>
      </c>
      <c r="C36" s="212"/>
      <c r="D36" s="212"/>
      <c r="E36" s="212"/>
      <c r="F36" s="212"/>
      <c r="J36" s="144"/>
    </row>
    <row r="37" spans="1:13" ht="34.5" customHeight="1" x14ac:dyDescent="0.25">
      <c r="B37" s="231" t="s">
        <v>97</v>
      </c>
      <c r="C37" s="231"/>
      <c r="D37" s="231"/>
      <c r="E37" s="231"/>
      <c r="F37" s="231"/>
    </row>
    <row r="38" spans="1:13" ht="1.5" customHeight="1" x14ac:dyDescent="0.4">
      <c r="B38" s="104"/>
      <c r="C38" s="104"/>
      <c r="D38" s="105"/>
      <c r="E38" s="106"/>
      <c r="F38" s="106"/>
    </row>
    <row r="40" spans="1:13" x14ac:dyDescent="0.25">
      <c r="B40" s="232" t="s">
        <v>108</v>
      </c>
      <c r="C40" s="232"/>
      <c r="D40" s="232"/>
      <c r="E40" s="232"/>
      <c r="F40" s="232"/>
      <c r="J40" s="144"/>
    </row>
    <row r="41" spans="1:13" ht="29.25" customHeight="1" x14ac:dyDescent="0.25">
      <c r="B41" s="234" t="s">
        <v>124</v>
      </c>
      <c r="C41" s="232"/>
      <c r="D41" s="232"/>
      <c r="E41" s="232"/>
      <c r="F41" s="232"/>
    </row>
    <row r="42" spans="1:13" ht="9.75" customHeight="1" x14ac:dyDescent="0.25"/>
    <row r="43" spans="1:13" x14ac:dyDescent="0.25">
      <c r="F43" s="98" t="s">
        <v>88</v>
      </c>
    </row>
    <row r="46" spans="1:13" ht="24" customHeight="1" x14ac:dyDescent="0.25"/>
    <row r="48" spans="1:13" ht="18" customHeight="1" x14ac:dyDescent="0.25">
      <c r="A48" s="130" t="s">
        <v>82</v>
      </c>
      <c r="D48" s="135" t="str">
        <f t="shared" ref="D48:E51" si="4">+D3</f>
        <v>Date:</v>
      </c>
      <c r="E48" s="215">
        <f t="shared" si="4"/>
        <v>0</v>
      </c>
      <c r="F48" s="215"/>
      <c r="K48" s="82"/>
      <c r="L48" s="81"/>
      <c r="M48" s="83"/>
    </row>
    <row r="49" spans="1:6" x14ac:dyDescent="0.25">
      <c r="B49" s="76"/>
      <c r="D49" s="135" t="str">
        <f t="shared" si="4"/>
        <v>Debit Note:</v>
      </c>
      <c r="E49" s="215">
        <f t="shared" si="4"/>
        <v>0</v>
      </c>
      <c r="F49" s="215"/>
    </row>
    <row r="50" spans="1:6" ht="15" customHeight="1" x14ac:dyDescent="0.25">
      <c r="B50" s="75"/>
      <c r="C50" s="85"/>
      <c r="D50" s="135" t="str">
        <f t="shared" si="4"/>
        <v>Your Ref:</v>
      </c>
      <c r="E50" s="215">
        <f t="shared" si="4"/>
        <v>0</v>
      </c>
      <c r="F50" s="215"/>
    </row>
    <row r="51" spans="1:6" ht="17.25" customHeight="1" x14ac:dyDescent="0.35">
      <c r="B51" s="110"/>
      <c r="C51" s="100"/>
      <c r="D51" s="135" t="str">
        <f t="shared" si="4"/>
        <v>Our Ref:</v>
      </c>
      <c r="E51" s="215">
        <f t="shared" si="4"/>
        <v>0</v>
      </c>
      <c r="F51" s="215"/>
    </row>
    <row r="52" spans="1:6" ht="25.5" x14ac:dyDescent="0.35">
      <c r="B52" s="110"/>
      <c r="C52" s="100"/>
      <c r="D52" s="103"/>
      <c r="E52" s="90"/>
      <c r="F52" s="90"/>
    </row>
    <row r="53" spans="1:6" ht="31.5" x14ac:dyDescent="0.25">
      <c r="A53" s="117"/>
      <c r="B53" s="125" t="s">
        <v>64</v>
      </c>
      <c r="C53" s="126"/>
      <c r="D53" s="127"/>
      <c r="E53" s="128"/>
      <c r="F53" s="129" t="s">
        <v>89</v>
      </c>
    </row>
    <row r="54" spans="1:6" x14ac:dyDescent="0.25">
      <c r="B54" s="109" t="s">
        <v>83</v>
      </c>
      <c r="E54" s="109" t="s">
        <v>51</v>
      </c>
      <c r="F54" s="116">
        <v>0</v>
      </c>
    </row>
    <row r="55" spans="1:6" x14ac:dyDescent="0.25">
      <c r="B55" s="134" t="s">
        <v>87</v>
      </c>
      <c r="E55" s="109"/>
      <c r="F55" s="116"/>
    </row>
    <row r="56" spans="1:6" x14ac:dyDescent="0.25">
      <c r="B56" s="76"/>
      <c r="E56" s="109"/>
      <c r="F56" s="116"/>
    </row>
    <row r="57" spans="1:6" x14ac:dyDescent="0.25">
      <c r="B57" s="109"/>
      <c r="E57" s="109"/>
      <c r="F57" s="116"/>
    </row>
    <row r="58" spans="1:6" x14ac:dyDescent="0.25">
      <c r="B58" s="111"/>
      <c r="C58" s="112"/>
      <c r="D58" s="112"/>
      <c r="E58" s="112"/>
      <c r="F58" s="112"/>
    </row>
    <row r="60" spans="1:6" x14ac:dyDescent="0.25">
      <c r="A60" s="122"/>
      <c r="B60" s="118" t="s">
        <v>84</v>
      </c>
      <c r="C60" s="119"/>
      <c r="D60" s="119"/>
      <c r="E60" s="118" t="s">
        <v>51</v>
      </c>
      <c r="F60" s="120">
        <f>SUM(F62:F65)</f>
        <v>0</v>
      </c>
    </row>
    <row r="61" spans="1:6" x14ac:dyDescent="0.25">
      <c r="A61" s="115" t="s">
        <v>63</v>
      </c>
      <c r="B61" s="115" t="s">
        <v>85</v>
      </c>
      <c r="C61" s="114"/>
      <c r="D61" s="114"/>
      <c r="E61" s="114"/>
      <c r="F61" s="136"/>
    </row>
    <row r="62" spans="1:6" ht="29.25" customHeight="1" x14ac:dyDescent="0.25">
      <c r="A62" s="140">
        <f>+E48</f>
        <v>0</v>
      </c>
      <c r="B62" s="233" t="str">
        <f>"Professional fee for "&amp;B21</f>
        <v xml:space="preserve">Professional fee for </v>
      </c>
      <c r="C62" s="233"/>
      <c r="D62" s="233"/>
      <c r="E62" s="233"/>
      <c r="F62" s="136">
        <f>+F21</f>
        <v>0</v>
      </c>
    </row>
    <row r="63" spans="1:6" x14ac:dyDescent="0.25">
      <c r="F63" s="136"/>
    </row>
    <row r="64" spans="1:6" x14ac:dyDescent="0.25">
      <c r="B64" s="111"/>
      <c r="C64" s="112"/>
      <c r="D64" s="112"/>
      <c r="E64" s="112"/>
      <c r="F64" s="112"/>
    </row>
    <row r="66" spans="1:6" x14ac:dyDescent="0.25">
      <c r="A66" s="122"/>
      <c r="B66" s="118" t="s">
        <v>110</v>
      </c>
      <c r="C66" s="121"/>
      <c r="D66" s="121"/>
      <c r="E66" s="118" t="s">
        <v>51</v>
      </c>
      <c r="F66" s="120">
        <f>SUM(F68:F70)</f>
        <v>0</v>
      </c>
    </row>
    <row r="67" spans="1:6" x14ac:dyDescent="0.25">
      <c r="B67" s="113" t="s">
        <v>85</v>
      </c>
      <c r="F67" s="136"/>
    </row>
    <row r="68" spans="1:6" x14ac:dyDescent="0.25">
      <c r="B68" s="233">
        <f>+B22</f>
        <v>0</v>
      </c>
      <c r="C68" s="233"/>
      <c r="D68" s="233"/>
      <c r="E68" s="233"/>
      <c r="F68" s="136" t="str">
        <f>+F22</f>
        <v/>
      </c>
    </row>
    <row r="69" spans="1:6" x14ac:dyDescent="0.25">
      <c r="B69" s="233"/>
      <c r="C69" s="233"/>
      <c r="D69" s="233"/>
      <c r="E69" s="233"/>
      <c r="F69" s="136"/>
    </row>
    <row r="70" spans="1:6" x14ac:dyDescent="0.25">
      <c r="F70" s="136"/>
    </row>
    <row r="71" spans="1:6" x14ac:dyDescent="0.25">
      <c r="B71" s="111"/>
      <c r="C71" s="112"/>
      <c r="D71" s="112"/>
      <c r="E71" s="112"/>
      <c r="F71" s="112"/>
    </row>
    <row r="73" spans="1:6" x14ac:dyDescent="0.25">
      <c r="A73" s="84"/>
      <c r="B73" s="118" t="s">
        <v>86</v>
      </c>
      <c r="C73" s="121"/>
      <c r="D73" s="121"/>
      <c r="E73" s="121"/>
      <c r="F73" s="120">
        <f>+F60+F66</f>
        <v>0</v>
      </c>
    </row>
    <row r="85" spans="1:13" ht="14.25" customHeight="1" x14ac:dyDescent="0.25"/>
    <row r="86" spans="1:13" x14ac:dyDescent="0.25">
      <c r="A86" s="219" t="s">
        <v>108</v>
      </c>
      <c r="B86" s="219"/>
      <c r="C86" s="219"/>
      <c r="D86" s="219"/>
      <c r="E86" s="219"/>
      <c r="F86" s="219"/>
    </row>
    <row r="87" spans="1:13" ht="27.75" customHeight="1" x14ac:dyDescent="0.25">
      <c r="A87" s="220" t="str">
        <f>+B41</f>
        <v>Address: No. 17-LK3, 90 Nguyen Tuan Area, Nguyen Tuan Street, Thanh Xuan, Hanoi, Vietnam
          a  No. 531, St. 128, Sangkat Psadepo I, Khan Toul Kork, Phnom Penh, Cambodia</v>
      </c>
      <c r="B87" s="220"/>
      <c r="C87" s="220"/>
      <c r="D87" s="220"/>
      <c r="E87" s="220"/>
      <c r="F87" s="220"/>
    </row>
    <row r="89" spans="1:13" x14ac:dyDescent="0.25">
      <c r="F89" s="98" t="s">
        <v>90</v>
      </c>
    </row>
    <row r="93" spans="1:13" ht="24" customHeight="1" x14ac:dyDescent="0.25"/>
    <row r="96" spans="1:13" ht="18" customHeight="1" x14ac:dyDescent="0.25">
      <c r="B96" s="130" t="s">
        <v>91</v>
      </c>
      <c r="D96" s="135" t="str">
        <f t="shared" ref="D96:E99" si="5">+D48</f>
        <v>Date:</v>
      </c>
      <c r="E96" s="215">
        <f t="shared" si="5"/>
        <v>0</v>
      </c>
      <c r="F96" s="215"/>
      <c r="K96" s="82"/>
      <c r="L96" s="81"/>
      <c r="M96" s="83"/>
    </row>
    <row r="97" spans="1:6" ht="18" customHeight="1" x14ac:dyDescent="0.25">
      <c r="B97" s="76"/>
      <c r="D97" s="135" t="str">
        <f t="shared" si="5"/>
        <v>Debit Note:</v>
      </c>
      <c r="E97" s="215">
        <f t="shared" si="5"/>
        <v>0</v>
      </c>
      <c r="F97" s="215"/>
    </row>
    <row r="98" spans="1:6" x14ac:dyDescent="0.25">
      <c r="B98" s="75"/>
      <c r="C98" s="85"/>
      <c r="D98" s="135" t="str">
        <f t="shared" si="5"/>
        <v>Your Ref:</v>
      </c>
      <c r="E98" s="215">
        <f t="shared" si="5"/>
        <v>0</v>
      </c>
      <c r="F98" s="215"/>
    </row>
    <row r="99" spans="1:6" ht="18" customHeight="1" x14ac:dyDescent="0.35">
      <c r="B99" s="110"/>
      <c r="C99" s="100"/>
      <c r="D99" s="135" t="str">
        <f t="shared" si="5"/>
        <v>Our Ref:</v>
      </c>
      <c r="E99" s="215">
        <f t="shared" si="5"/>
        <v>0</v>
      </c>
      <c r="F99" s="215"/>
    </row>
    <row r="102" spans="1:6" x14ac:dyDescent="0.25">
      <c r="A102" s="131" t="s">
        <v>63</v>
      </c>
      <c r="B102" s="132" t="s">
        <v>83</v>
      </c>
      <c r="C102" s="132" t="s">
        <v>92</v>
      </c>
      <c r="D102" s="132" t="s">
        <v>93</v>
      </c>
      <c r="E102" s="132"/>
      <c r="F102" s="132"/>
    </row>
    <row r="106" spans="1:6" x14ac:dyDescent="0.25">
      <c r="B106" s="123" t="s">
        <v>94</v>
      </c>
      <c r="C106" s="141">
        <f>SUM(C103:C105)</f>
        <v>0</v>
      </c>
    </row>
    <row r="107" spans="1:6" x14ac:dyDescent="0.25">
      <c r="B107" s="123"/>
      <c r="C107" s="124"/>
    </row>
    <row r="108" spans="1:6" x14ac:dyDescent="0.25">
      <c r="B108" s="123"/>
      <c r="C108" s="124"/>
    </row>
    <row r="109" spans="1:6" x14ac:dyDescent="0.25">
      <c r="B109" s="123"/>
      <c r="C109" s="124"/>
    </row>
    <row r="110" spans="1:6" x14ac:dyDescent="0.25">
      <c r="B110" s="123"/>
      <c r="C110" s="124"/>
    </row>
    <row r="111" spans="1:6" x14ac:dyDescent="0.25">
      <c r="B111" s="123"/>
      <c r="C111" s="124"/>
    </row>
    <row r="112" spans="1:6" x14ac:dyDescent="0.25">
      <c r="B112" s="123"/>
      <c r="C112" s="124"/>
    </row>
    <row r="113" spans="1:6" x14ac:dyDescent="0.25">
      <c r="B113" s="123"/>
      <c r="C113" s="124"/>
    </row>
    <row r="114" spans="1:6" x14ac:dyDescent="0.25">
      <c r="B114" s="123"/>
      <c r="C114" s="124"/>
    </row>
    <row r="115" spans="1:6" x14ac:dyDescent="0.25">
      <c r="B115" s="123"/>
      <c r="C115" s="124"/>
    </row>
    <row r="116" spans="1:6" x14ac:dyDescent="0.25">
      <c r="B116" s="123"/>
      <c r="C116" s="124"/>
    </row>
    <row r="117" spans="1:6" x14ac:dyDescent="0.25">
      <c r="B117" s="123"/>
      <c r="C117" s="124"/>
    </row>
    <row r="118" spans="1:6" x14ac:dyDescent="0.25">
      <c r="B118" s="123"/>
      <c r="C118" s="124"/>
    </row>
    <row r="119" spans="1:6" x14ac:dyDescent="0.25">
      <c r="B119" s="123"/>
      <c r="C119" s="124"/>
    </row>
    <row r="120" spans="1:6" x14ac:dyDescent="0.25">
      <c r="B120" s="123"/>
      <c r="C120" s="124"/>
    </row>
    <row r="125" spans="1:6" ht="166.5" customHeight="1" x14ac:dyDescent="0.25"/>
    <row r="126" spans="1:6" x14ac:dyDescent="0.25">
      <c r="A126" s="219" t="str">
        <f>+A86</f>
        <v>IPAC INTELLECTUAL PROPERTY CONSULTANCY JSC</v>
      </c>
      <c r="B126" s="219"/>
      <c r="C126" s="219"/>
      <c r="D126" s="219"/>
      <c r="E126" s="219"/>
      <c r="F126" s="219"/>
    </row>
    <row r="127" spans="1:6" x14ac:dyDescent="0.25">
      <c r="A127" s="219" t="str">
        <f>+A87</f>
        <v>Address: No. 17-LK3, 90 Nguyen Tuan Area, Nguyen Tuan Street, Thanh Xuan, Hanoi, Vietnam
          a  No. 531, St. 128, Sangkat Psadepo I, Khan Toul Kork, Phnom Penh, Cambodia</v>
      </c>
      <c r="B127" s="219"/>
      <c r="C127" s="219"/>
      <c r="D127" s="219"/>
      <c r="E127" s="219"/>
      <c r="F127" s="219"/>
    </row>
  </sheetData>
  <dataConsolidate/>
  <mergeCells count="39">
    <mergeCell ref="A126:F126"/>
    <mergeCell ref="A127:F127"/>
    <mergeCell ref="E99:F99"/>
    <mergeCell ref="E98:F98"/>
    <mergeCell ref="D15:F15"/>
    <mergeCell ref="B40:F40"/>
    <mergeCell ref="B68:E68"/>
    <mergeCell ref="B69:E69"/>
    <mergeCell ref="E96:F96"/>
    <mergeCell ref="E97:F97"/>
    <mergeCell ref="E48:F48"/>
    <mergeCell ref="E49:F49"/>
    <mergeCell ref="E50:F50"/>
    <mergeCell ref="E51:F51"/>
    <mergeCell ref="B62:E62"/>
    <mergeCell ref="B41:F41"/>
    <mergeCell ref="A86:F86"/>
    <mergeCell ref="A87:F87"/>
    <mergeCell ref="D2:F2"/>
    <mergeCell ref="D17:F17"/>
    <mergeCell ref="L13:M13"/>
    <mergeCell ref="L12:M12"/>
    <mergeCell ref="E6:F6"/>
    <mergeCell ref="D9:F9"/>
    <mergeCell ref="B11:F11"/>
    <mergeCell ref="D13:F13"/>
    <mergeCell ref="D8:F8"/>
    <mergeCell ref="E7:F7"/>
    <mergeCell ref="D12:E12"/>
    <mergeCell ref="D14:F14"/>
    <mergeCell ref="D18:F18"/>
    <mergeCell ref="B37:F37"/>
    <mergeCell ref="B36:F36"/>
    <mergeCell ref="E34:F34"/>
    <mergeCell ref="C34:D34"/>
    <mergeCell ref="E3:F3"/>
    <mergeCell ref="E4:F4"/>
    <mergeCell ref="E5:F5"/>
    <mergeCell ref="D16:F16"/>
  </mergeCells>
  <conditionalFormatting sqref="I20:I29">
    <cfRule type="containsText" dxfId="0" priority="1" operator="containsText" text="CPN">
      <formula>NOT(ISERROR(SEARCH("CPN",I20)))</formula>
    </cfRule>
  </conditionalFormatting>
  <dataValidations count="1">
    <dataValidation type="list" allowBlank="1" showInputMessage="1" showErrorMessage="1" sqref="G12" xr:uid="{00000000-0002-0000-0300-000000000000}">
      <formula1>$K$12:$K$13</formula1>
    </dataValidation>
  </dataValidations>
  <pageMargins left="0.5" right="0.4" top="0.7" bottom="0.3" header="0.31496062992126" footer="0.31496062992126"/>
  <pageSetup paperSize="9" scale="96" fitToHeight="0" orientation="portrait"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1000000}">
          <x14:formula1>
            <xm:f>#REF!</xm:f>
          </x14:formula1>
          <xm:sqref>E4:F4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2:D10"/>
  <sheetViews>
    <sheetView workbookViewId="0">
      <selection activeCell="D12" sqref="D12:D21"/>
    </sheetView>
  </sheetViews>
  <sheetFormatPr defaultRowHeight="15" x14ac:dyDescent="0.25"/>
  <cols>
    <col min="3" max="3" width="63" customWidth="1"/>
    <col min="4" max="4" width="14.85546875" style="163" bestFit="1" customWidth="1"/>
  </cols>
  <sheetData>
    <row r="2" spans="3:4" x14ac:dyDescent="0.25">
      <c r="C2" s="167" t="s">
        <v>64</v>
      </c>
      <c r="D2" s="168" t="s">
        <v>118</v>
      </c>
    </row>
    <row r="3" spans="3:4" x14ac:dyDescent="0.25">
      <c r="C3" s="162" t="s">
        <v>117</v>
      </c>
      <c r="D3" s="163">
        <v>350</v>
      </c>
    </row>
    <row r="4" spans="3:4" x14ac:dyDescent="0.25">
      <c r="C4" t="s">
        <v>112</v>
      </c>
      <c r="D4" s="163">
        <v>120</v>
      </c>
    </row>
    <row r="5" spans="3:4" x14ac:dyDescent="0.25">
      <c r="C5" s="4" t="s">
        <v>72</v>
      </c>
      <c r="D5" s="164">
        <f>+D3+D4</f>
        <v>470</v>
      </c>
    </row>
    <row r="6" spans="3:4" x14ac:dyDescent="0.25">
      <c r="C6" t="s">
        <v>113</v>
      </c>
      <c r="D6" s="163">
        <f>+D5*5%</f>
        <v>23.5</v>
      </c>
    </row>
    <row r="7" spans="3:4" x14ac:dyDescent="0.25">
      <c r="C7" s="165" t="s">
        <v>114</v>
      </c>
      <c r="D7" s="166">
        <f>+D5+D6</f>
        <v>493.5</v>
      </c>
    </row>
    <row r="8" spans="3:4" x14ac:dyDescent="0.25">
      <c r="C8" t="s">
        <v>115</v>
      </c>
      <c r="D8" s="163">
        <f>+D7*5%</f>
        <v>24.675000000000001</v>
      </c>
    </row>
    <row r="9" spans="3:4" ht="15.75" thickBot="1" x14ac:dyDescent="0.3">
      <c r="C9" s="169" t="s">
        <v>116</v>
      </c>
      <c r="D9" s="170">
        <f>+D7+D8</f>
        <v>518.17499999999995</v>
      </c>
    </row>
    <row r="10" spans="3:4" ht="15.75" thickTop="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Quote for IRG-patent</vt:lpstr>
      <vt:lpstr>Form Invoice</vt:lpstr>
      <vt:lpstr>Quote for BMVN</vt:lpstr>
      <vt:lpstr>Debit Note Eng</vt:lpstr>
      <vt:lpstr>Paypal</vt:lpstr>
      <vt:lpstr>'Quote for BMVN'!OLE_LINK1</vt:lpstr>
      <vt:lpstr>'Quote for IRG-patent'!OLE_LINK1</vt:lpstr>
      <vt:lpstr>'Debit Note Eng'!Print_Area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Đạo Bùi Quang</cp:lastModifiedBy>
  <cp:lastPrinted>2025-08-11T07:21:13Z</cp:lastPrinted>
  <dcterms:created xsi:type="dcterms:W3CDTF">2020-08-27T09:17:09Z</dcterms:created>
  <dcterms:modified xsi:type="dcterms:W3CDTF">2025-12-06T09:16:20Z</dcterms:modified>
</cp:coreProperties>
</file>